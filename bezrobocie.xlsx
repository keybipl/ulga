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a\Documents\ulga\"/>
    </mc:Choice>
  </mc:AlternateContent>
  <xr:revisionPtr revIDLastSave="0" documentId="13_ncr:1_{7B313DEE-784C-44F8-B5D3-30BE7F26237F}" xr6:coauthVersionLast="47" xr6:coauthVersionMax="47" xr10:uidLastSave="{00000000-0000-0000-0000-000000000000}"/>
  <bookViews>
    <workbookView xWindow="-96" yWindow="0" windowWidth="20832" windowHeight="16656" xr2:uid="{AB26CBCE-CEE3-42BF-A65A-C35614FACA53}"/>
  </bookViews>
  <sheets>
    <sheet name="Arkusz1" sheetId="1" r:id="rId1"/>
  </sheets>
  <definedNames>
    <definedName name="bezrobocie_powiaty_2024" localSheetId="0">Arkusz1!$D$1:$F$381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3507BA-CE7C-492B-95C7-4EDFF5C7B063}" name="bezrobocie_powiaty_2024" type="6" refreshedVersion="8" background="1" saveData="1">
    <textPr codePage="65001" sourceFile="C:\Users\Ania\Downloads\bezrobocie_powiaty_2024.csv" decimal="," thousands=" " tab="0" semicolon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<sst xmlns="http://schemas.openxmlformats.org/spreadsheetml/2006/main" count="765" uniqueCount="391">
  <si>
    <t>Województwo</t>
  </si>
  <si>
    <t>Powiat</t>
  </si>
  <si>
    <t>Stopa bezrobocia (%)</t>
  </si>
  <si>
    <t>DOLNOŚLĄSKIE</t>
  </si>
  <si>
    <t>Bolesławiecki</t>
  </si>
  <si>
    <t>Dzierżoniowski</t>
  </si>
  <si>
    <t>Głogowski</t>
  </si>
  <si>
    <t>Górowski</t>
  </si>
  <si>
    <t>Jaworski</t>
  </si>
  <si>
    <t>Karkonoski</t>
  </si>
  <si>
    <t>Kamiennogórski</t>
  </si>
  <si>
    <t>Kłodzki</t>
  </si>
  <si>
    <t>Legnicki</t>
  </si>
  <si>
    <t>Lubański</t>
  </si>
  <si>
    <t>Lubiński</t>
  </si>
  <si>
    <t>Lwówecki</t>
  </si>
  <si>
    <t>Milicki</t>
  </si>
  <si>
    <t>Oleśnicki</t>
  </si>
  <si>
    <t>Oławski</t>
  </si>
  <si>
    <t>Polkowicki</t>
  </si>
  <si>
    <t>Strzeliński</t>
  </si>
  <si>
    <t>Średzki</t>
  </si>
  <si>
    <t>Świdnicki</t>
  </si>
  <si>
    <t>Trzebnicki</t>
  </si>
  <si>
    <t>Wałbrzyski</t>
  </si>
  <si>
    <t>Wołowski</t>
  </si>
  <si>
    <t>Wrocławski</t>
  </si>
  <si>
    <t>Ząbkowicki</t>
  </si>
  <si>
    <t>Zgorzelecki</t>
  </si>
  <si>
    <t>Złotoryjski</t>
  </si>
  <si>
    <t>Jelenia Góra</t>
  </si>
  <si>
    <t>Legnica</t>
  </si>
  <si>
    <t>Wrocław</t>
  </si>
  <si>
    <t>Wałbrzych</t>
  </si>
  <si>
    <t>KUJAWSKO-POMORSKIE</t>
  </si>
  <si>
    <t>Aleksandrowski</t>
  </si>
  <si>
    <t>Brodnicki</t>
  </si>
  <si>
    <t>Bydgoski</t>
  </si>
  <si>
    <t>Chełmiński</t>
  </si>
  <si>
    <t>Golubsko-dobrzyński</t>
  </si>
  <si>
    <t>Grudziądzki</t>
  </si>
  <si>
    <t>Inowrocławski</t>
  </si>
  <si>
    <t>Lipnowski</t>
  </si>
  <si>
    <t>Mogileński</t>
  </si>
  <si>
    <t>Nakielski</t>
  </si>
  <si>
    <t>Radziejowski</t>
  </si>
  <si>
    <t>Rypiński</t>
  </si>
  <si>
    <t>Sępoleński</t>
  </si>
  <si>
    <t>Świecki</t>
  </si>
  <si>
    <t>Toruński</t>
  </si>
  <si>
    <t>Tucholski</t>
  </si>
  <si>
    <t>Wąbrzeski</t>
  </si>
  <si>
    <t>Włocławski</t>
  </si>
  <si>
    <t>Żniński</t>
  </si>
  <si>
    <t>Bydgoszcz</t>
  </si>
  <si>
    <t>Grudziądz</t>
  </si>
  <si>
    <t>Toruń</t>
  </si>
  <si>
    <t>Włocławek</t>
  </si>
  <si>
    <t>LUBELSKIE</t>
  </si>
  <si>
    <t>Bialski</t>
  </si>
  <si>
    <t>Biłgorajski</t>
  </si>
  <si>
    <t>Chełmski</t>
  </si>
  <si>
    <t>Hrubieszowski</t>
  </si>
  <si>
    <t>Janowski</t>
  </si>
  <si>
    <t>Krasnostawski</t>
  </si>
  <si>
    <t>Kraśnicki</t>
  </si>
  <si>
    <t>Lubartowski</t>
  </si>
  <si>
    <t>Lubelski</t>
  </si>
  <si>
    <t>Łęczyński</t>
  </si>
  <si>
    <t>Łukowski</t>
  </si>
  <si>
    <t>Opolski</t>
  </si>
  <si>
    <t>Parczewski</t>
  </si>
  <si>
    <t>Puławski</t>
  </si>
  <si>
    <t>Radzyński</t>
  </si>
  <si>
    <t>Rycki</t>
  </si>
  <si>
    <t>Tomaszowski</t>
  </si>
  <si>
    <t>Włodawski</t>
  </si>
  <si>
    <t>Zamojski</t>
  </si>
  <si>
    <t>Biała Podlaska</t>
  </si>
  <si>
    <t>Chełm</t>
  </si>
  <si>
    <t>Lublin</t>
  </si>
  <si>
    <t>Zamość</t>
  </si>
  <si>
    <t>LUBUSKIE</t>
  </si>
  <si>
    <t>Gorzowski</t>
  </si>
  <si>
    <t>Krośnieński</t>
  </si>
  <si>
    <t>Międzyrzecki</t>
  </si>
  <si>
    <t>Nowosolski</t>
  </si>
  <si>
    <t>Słubicki</t>
  </si>
  <si>
    <t>Strzelecko-drezdenecki</t>
  </si>
  <si>
    <t>Sulęciński</t>
  </si>
  <si>
    <t>Świebodziński</t>
  </si>
  <si>
    <t>Wschowski</t>
  </si>
  <si>
    <t>Zielonogórski</t>
  </si>
  <si>
    <t>Żagański</t>
  </si>
  <si>
    <t>Żarski</t>
  </si>
  <si>
    <t>Gorzów Wielkopolski</t>
  </si>
  <si>
    <t>Zielona Góra</t>
  </si>
  <si>
    <t>ŁÓDZKIE</t>
  </si>
  <si>
    <t>Bełchatowski</t>
  </si>
  <si>
    <t>Brzeziński</t>
  </si>
  <si>
    <t>Kutnowski</t>
  </si>
  <si>
    <t>Łaski</t>
  </si>
  <si>
    <t>Łęczycki</t>
  </si>
  <si>
    <t>Łowicki</t>
  </si>
  <si>
    <t>Łódzki wschodni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</si>
  <si>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</si>
  <si>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</si>
  <si>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</si>
  <si>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</si>
  <si>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</si>
  <si>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</si>
  <si>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</si>
  <si>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</si>
  <si>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</si>
  <si>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Wieluński</t>
  </si>
  <si>
    <t>Wieruszowski</t>
  </si>
  <si>
    <t>Zduńskowolski</t>
  </si>
  <si>
    <t>Zgierski</t>
  </si>
  <si>
    <t>Łódź</t>
  </si>
  <si>
    <t>Piotrków Trybunalski</t>
  </si>
  <si>
    <t>Skierniewice</t>
  </si>
  <si>
    <t>MAŁOPOLSKIE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</si>
  <si>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</si>
  <si>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</si>
  <si>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</si>
  <si>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</si>
  <si>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</si>
  <si>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</si>
  <si>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</si>
  <si>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</si>
  <si>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</si>
  <si>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</si>
  <si>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</si>
  <si>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</si>
  <si>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</si>
  <si>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</si>
  <si>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</si>
  <si>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</si>
  <si>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</si>
  <si>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</si>
  <si>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</si>
  <si>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Kraków</t>
  </si>
  <si>
    <t>Nowy Sącz</t>
  </si>
  <si>
    <t>Tarnów</t>
  </si>
  <si>
    <t>MAZOWIECKIE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</si>
  <si>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</si>
  <si>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</si>
  <si>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</si>
  <si>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</si>
  <si>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</si>
  <si>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</si>
  <si>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</si>
  <si>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</si>
  <si>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</si>
  <si>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</si>
  <si>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</si>
  <si>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</si>
  <si>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</si>
  <si>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</si>
  <si>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</si>
  <si>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</si>
  <si>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</si>
  <si>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</si>
  <si>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</si>
  <si>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</si>
  <si>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</si>
  <si>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</si>
  <si>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</si>
  <si>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</si>
  <si>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</si>
  <si>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</si>
  <si>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</si>
  <si>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</si>
  <si>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</si>
  <si>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</si>
  <si>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Warszawski zachodni</t>
  </si>
  <si>
    <t>Węgrowski</t>
  </si>
  <si>
    <t>Wołomiński</t>
  </si>
  <si>
    <t>Wyszkowski</t>
  </si>
  <si>
    <t>Zwoleński</t>
  </si>
  <si>
    <t>Żuromiński</t>
  </si>
  <si>
    <t>Żyrardowski</t>
  </si>
  <si>
    <t>Ostrołęka</t>
  </si>
  <si>
    <t>Płock</t>
  </si>
  <si>
    <t>Radom</t>
  </si>
  <si>
    <t>Siedlce</t>
  </si>
  <si>
    <t>M.st. Warszawa</t>
  </si>
  <si>
    <t>OPOLSKIE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</si>
  <si>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</si>
  <si>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</si>
  <si>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</si>
  <si>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</si>
  <si>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</si>
  <si>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</si>
  <si>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</si>
  <si>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Prudnicki</t>
  </si>
  <si>
    <t>Strzelecki</t>
  </si>
  <si>
    <t>Opole</t>
  </si>
  <si>
    <t>PODKARPACKIE</t>
  </si>
  <si>
    <t>Bieszczadzki</t>
  </si>
  <si>
    <t>Brzozowski</t>
  </si>
  <si>
    <t>Dębicki</t>
  </si>
  <si>
    <t>Jarosławski</t>
  </si>
  <si>
    <t>Jasielski</t>
  </si>
  <si>
    <t>Kolbuszowski</t>
  </si>
  <si>
    <t>Leski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</si>
  <si>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</si>
  <si>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</si>
  <si>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</si>
  <si>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</si>
  <si>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</si>
  <si>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</si>
  <si>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</si>
  <si>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</si>
  <si>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</si>
  <si>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</si>
  <si>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</si>
  <si>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</si>
  <si>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</si>
  <si>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Krosno</t>
  </si>
  <si>
    <t>Przemyśl</t>
  </si>
  <si>
    <t>Rzeszów</t>
  </si>
  <si>
    <t>Tarnobrzeg</t>
  </si>
  <si>
    <t>PODLASKIE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</si>
  <si>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</si>
  <si>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</si>
  <si>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</si>
  <si>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</si>
  <si>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</si>
  <si>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</si>
  <si>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</si>
  <si>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</si>
  <si>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</si>
  <si>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</si>
  <si>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</si>
  <si>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</si>
  <si>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</si>
  <si>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</si>
  <si>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Białystok</t>
  </si>
  <si>
    <t>Łomża</t>
  </si>
  <si>
    <t>Suwałki</t>
  </si>
  <si>
    <t>POMORSKIE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</si>
  <si>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</si>
  <si>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</si>
  <si>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</si>
  <si>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</si>
  <si>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</si>
  <si>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</si>
  <si>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</si>
  <si>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</si>
  <si>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</si>
  <si>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</si>
  <si>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</si>
  <si>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</si>
  <si>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Sztumski</t>
  </si>
  <si>
    <t>Tczewski</t>
  </si>
  <si>
    <t>Wejherowski</t>
  </si>
  <si>
    <t>Gdańsk</t>
  </si>
  <si>
    <t>Gdynia</t>
  </si>
  <si>
    <t>Słupsk</t>
  </si>
  <si>
    <t>Sopot</t>
  </si>
  <si>
    <t>ŚLĄSKIE</t>
  </si>
  <si>
    <t>Będziński</t>
  </si>
  <si>
    <t>Bieruńsko-lędziński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</si>
  <si>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</si>
  <si>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</si>
  <si>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</si>
  <si>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</si>
  <si>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</si>
  <si>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</si>
  <si>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</si>
  <si>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</si>
  <si>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</si>
  <si>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</si>
  <si>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</si>
  <si>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</si>
  <si>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</si>
  <si>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</si>
  <si>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Bielsko-Biała</t>
  </si>
  <si>
    <t>Bytom</t>
  </si>
  <si>
    <t>Chorzów</t>
  </si>
  <si>
    <t>Częstochowa</t>
  </si>
  <si>
    <t>Dąbrowa Górnicza</t>
  </si>
  <si>
    <t>Gliwice</t>
  </si>
  <si>
    <t>Jastrzębie-Zdrój</t>
  </si>
  <si>
    <t>Jaworzno</t>
  </si>
  <si>
    <t>Katowice</t>
  </si>
  <si>
    <t>Mysłowice</t>
  </si>
  <si>
    <t>Piekary Śląskie</t>
  </si>
  <si>
    <t>Ruda Śląska</t>
  </si>
  <si>
    <t>Rybnik</t>
  </si>
  <si>
    <t>Siemianowice Śląskie</t>
  </si>
  <si>
    <t>Sosnowiec</t>
  </si>
  <si>
    <t>Świętochłowice</t>
  </si>
  <si>
    <t>Tychy</t>
  </si>
  <si>
    <t>Zabrze</t>
  </si>
  <si>
    <t>Żory</t>
  </si>
  <si>
    <t>ŚWIĘTOKRZYSKIE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</si>
  <si>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</si>
  <si>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</si>
  <si>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</si>
  <si>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</si>
  <si>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</si>
  <si>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</si>
  <si>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</si>
  <si>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</si>
  <si>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</si>
  <si>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</si>
  <si>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</si>
  <si>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</si>
  <si>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</si>
  <si>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Kielce</t>
  </si>
  <si>
    <t>WARMIŃSKO-MAZURSKIE</t>
  </si>
  <si>
    <t>Bartoszycki</t>
  </si>
  <si>
    <t>Braniewski</t>
  </si>
  <si>
    <t>Działdowski</t>
  </si>
  <si>
    <t>Elbląski</t>
  </si>
  <si>
    <t>Ełcki</t>
  </si>
  <si>
    <t>Giżycki</t>
  </si>
  <si>
    <t>Gołdapski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</si>
  <si>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</si>
  <si>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</si>
  <si>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</si>
  <si>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</si>
  <si>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</si>
  <si>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</si>
  <si>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</si>
  <si>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</si>
  <si>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</si>
  <si>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</si>
  <si>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</si>
  <si>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Węgorzewski</t>
  </si>
  <si>
    <t>Elbląg</t>
  </si>
  <si>
    <t>Olsztyn</t>
  </si>
  <si>
    <t>WIELKOPOLSKIE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</si>
  <si>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</si>
  <si>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</si>
  <si>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</si>
  <si>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</si>
  <si>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</si>
  <si>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</si>
  <si>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</si>
  <si>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</si>
  <si>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</si>
  <si>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</si>
  <si>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</si>
  <si>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</si>
  <si>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</si>
  <si>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</si>
  <si>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</si>
  <si>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</si>
  <si>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</si>
  <si>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</si>
  <si>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</si>
  <si>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</si>
  <si>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</si>
  <si>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</si>
  <si>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Śremski</t>
  </si>
  <si>
    <t>Turecki</t>
  </si>
  <si>
    <t>Wągrowiecki</t>
  </si>
  <si>
    <t>Wolsztyński</t>
  </si>
  <si>
    <t>Wrzesiński</t>
  </si>
  <si>
    <t>Złotowski</t>
  </si>
  <si>
    <t>Kalisz</t>
  </si>
  <si>
    <t>Konin</t>
  </si>
  <si>
    <t>Leszno</t>
  </si>
  <si>
    <t>Poznań</t>
  </si>
  <si>
    <t>ZACHODNIOPOMORSKIE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</si>
  <si>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</si>
  <si>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</si>
  <si>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</si>
  <si>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</si>
  <si>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</si>
  <si>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</si>
  <si>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</si>
  <si>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</si>
  <si>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</si>
  <si>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Łobeski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</si>
  <si>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</si>
  <si>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</si>
  <si>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</si>
  <si>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</si>
  <si>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</si>
  <si>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</si>
  <si>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</si>
  <si>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</si>
  <si>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Koszalin</t>
  </si>
  <si>
    <t>Szczecin</t>
  </si>
  <si>
    <t>Świnoujście</t>
  </si>
  <si>
    <t>% średniej</t>
  </si>
  <si>
    <t>minimalne nakłady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</si>
</sst>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ezrobocie_powiaty_2024" connectionId="1" xr16:uid="{C98069A4-145B-4EE5-994B-FCDD9AC32AE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2D72-E114-4F4C-8FB6-0122552E111E}">
  <dimension ref="D1:H381"/>
  <sheetViews>
    <sheetView tabSelected="1" workbookViewId="0">
      <selection activeCell="H1" sqref="H1"/>
    </sheetView>
  </sheetViews>
  <sheetFormatPr defaultRowHeight="14.4" x14ac:dyDescent="0.3"/>
  <cols>
    <col min="4" max="4" width="22.33203125" bestFit="1" customWidth="1"/>
    <col min="5" max="5" width="21.44140625" bestFit="1" customWidth="1"/>
    <col min="6" max="6" width="18.33203125" bestFit="1" customWidth="1"/>
  </cols>
  <sheetData>
    <row r="1" spans="4:8" x14ac:dyDescent="0.3">
      <c r="D1" t="s">
        <v>0</v>
      </c>
      <c r="E1" t="s">
        <v>1</v>
      </c>
      <c r="F1" t="s">
        <v>2</v>
      </c>
      <c r="G1" t="s">
        <v>389</v>
      </c>
      <c r="H1" t="s">
        <v>390</v>
      </c>
    </row>
    <row r="2" spans="4:8" x14ac:dyDescent="0.3">
      <c r="D2" t="s">
        <v>3</v>
      </c>
      <c r="E2" t="s">
        <v>4</v>
      </c>
      <c r="F2">
        <v>2.7</v>
      </c>
      <c r="G2">
        <f>F2/4.9</f>
        <v>0.55102040816326525</v>
      </c>
      <c r="H2">
        <f>IF(G2&lt;=0.6,100,IF(G2&lt;=1,80,IF(G2&lt;=1.3,60,IF(G2&lt;=1.6,40,IF(G2&lt;=2,20,IF(G2&lt;=2.5,15,10))))))</f>
        <v>100</v>
      </c>
    </row>
    <row r="3" spans="4:8" x14ac:dyDescent="0.3">
      <c r="D3" t="s">
        <v>3</v>
      </c>
      <c r="E3" t="s">
        <v>5</v>
      </c>
      <c r="F3">
        <v>6</v>
      </c>
      <c r="G3">
        <f t="shared" ref="G3:G66" si="0">F3/4.9</f>
        <v>1.2244897959183672</v>
      </c>
      <c r="H3">
        <f t="shared" ref="H3:H66" si="1">IF(G3&lt;=0.6,100,IF(G3&lt;=1,80,IF(G3&lt;=1.3,60,IF(G3&lt;=1.6,40,IF(G3&lt;=2,20,IF(G3&lt;=2.5,15,10))))))</f>
        <v>60</v>
      </c>
    </row>
    <row r="4" spans="4:8" x14ac:dyDescent="0.3">
      <c r="D4" t="s">
        <v>3</v>
      </c>
      <c r="E4" t="s">
        <v>6</v>
      </c>
      <c r="F4">
        <v>6.6</v>
      </c>
      <c r="G4">
        <f t="shared" si="0"/>
        <v>1.3469387755102038</v>
      </c>
      <c r="H4">
        <f t="shared" si="1"/>
        <v>40</v>
      </c>
    </row>
    <row r="5" spans="4:8" x14ac:dyDescent="0.3">
      <c r="D5" t="s">
        <v>3</v>
      </c>
      <c r="E5" t="s">
        <v>7</v>
      </c>
      <c r="F5">
        <v>13.9</v>
      </c>
      <c r="G5">
        <f t="shared" si="0"/>
        <v>2.8367346938775508</v>
      </c>
      <c r="H5">
        <f t="shared" si="1"/>
        <v>10</v>
      </c>
    </row>
    <row r="6" spans="4:8" x14ac:dyDescent="0.3">
      <c r="D6" t="s">
        <v>3</v>
      </c>
      <c r="E6" t="s">
        <v>8</v>
      </c>
      <c r="F6">
        <v>9.6</v>
      </c>
      <c r="G6">
        <f t="shared" si="0"/>
        <v>1.9591836734693875</v>
      </c>
      <c r="H6">
        <f t="shared" si="1"/>
        <v>20</v>
      </c>
    </row>
    <row r="7" spans="4:8" x14ac:dyDescent="0.3">
      <c r="D7" t="s">
        <v>3</v>
      </c>
      <c r="E7" t="s">
        <v>9</v>
      </c>
      <c r="F7">
        <v>8.4</v>
      </c>
      <c r="G7">
        <f t="shared" si="0"/>
        <v>1.7142857142857142</v>
      </c>
      <c r="H7">
        <f t="shared" si="1"/>
        <v>20</v>
      </c>
    </row>
    <row r="8" spans="4:8" x14ac:dyDescent="0.3">
      <c r="D8" t="s">
        <v>3</v>
      </c>
      <c r="E8" t="s">
        <v>10</v>
      </c>
      <c r="F8">
        <v>6.7</v>
      </c>
      <c r="G8">
        <f t="shared" si="0"/>
        <v>1.3673469387755102</v>
      </c>
      <c r="H8">
        <f t="shared" si="1"/>
        <v>40</v>
      </c>
    </row>
    <row r="9" spans="4:8" x14ac:dyDescent="0.3">
      <c r="D9" t="s">
        <v>3</v>
      </c>
      <c r="E9" t="s">
        <v>11</v>
      </c>
      <c r="F9">
        <v>12.1</v>
      </c>
      <c r="G9">
        <f t="shared" si="0"/>
        <v>2.4693877551020407</v>
      </c>
      <c r="H9">
        <f t="shared" si="1"/>
        <v>15</v>
      </c>
    </row>
    <row r="10" spans="4:8" x14ac:dyDescent="0.3">
      <c r="D10" t="s">
        <v>3</v>
      </c>
      <c r="E10" t="s">
        <v>12</v>
      </c>
      <c r="F10">
        <v>7.4</v>
      </c>
      <c r="G10">
        <f t="shared" si="0"/>
        <v>1.510204081632653</v>
      </c>
      <c r="H10">
        <f t="shared" si="1"/>
        <v>40</v>
      </c>
    </row>
    <row r="11" spans="4:8" x14ac:dyDescent="0.3">
      <c r="D11" t="s">
        <v>3</v>
      </c>
      <c r="E11" t="s">
        <v>13</v>
      </c>
      <c r="F11">
        <v>6.7</v>
      </c>
      <c r="G11">
        <f t="shared" si="0"/>
        <v>1.3673469387755102</v>
      </c>
      <c r="H11">
        <f t="shared" si="1"/>
        <v>40</v>
      </c>
    </row>
    <row r="12" spans="4:8" x14ac:dyDescent="0.3">
      <c r="D12" t="s">
        <v>3</v>
      </c>
      <c r="E12" t="s">
        <v>14</v>
      </c>
      <c r="F12">
        <v>3.9</v>
      </c>
      <c r="G12">
        <f t="shared" si="0"/>
        <v>0.79591836734693866</v>
      </c>
      <c r="H12">
        <f t="shared" si="1"/>
        <v>80</v>
      </c>
    </row>
    <row r="13" spans="4:8" x14ac:dyDescent="0.3">
      <c r="D13" t="s">
        <v>3</v>
      </c>
      <c r="E13" t="s">
        <v>15</v>
      </c>
      <c r="F13">
        <v>8.6999999999999993</v>
      </c>
      <c r="G13">
        <f t="shared" si="0"/>
        <v>1.7755102040816324</v>
      </c>
      <c r="H13">
        <f t="shared" si="1"/>
        <v>20</v>
      </c>
    </row>
    <row r="14" spans="4:8" x14ac:dyDescent="0.3">
      <c r="D14" t="s">
        <v>3</v>
      </c>
      <c r="E14" t="s">
        <v>16</v>
      </c>
      <c r="F14">
        <v>6.4</v>
      </c>
      <c r="G14">
        <f t="shared" si="0"/>
        <v>1.3061224489795917</v>
      </c>
      <c r="H14">
        <f t="shared" si="1"/>
        <v>40</v>
      </c>
    </row>
    <row r="15" spans="4:8" x14ac:dyDescent="0.3">
      <c r="D15" t="s">
        <v>3</v>
      </c>
      <c r="E15" t="s">
        <v>17</v>
      </c>
      <c r="F15">
        <v>5.8</v>
      </c>
      <c r="G15">
        <f t="shared" si="0"/>
        <v>1.1836734693877551</v>
      </c>
      <c r="H15">
        <f t="shared" si="1"/>
        <v>60</v>
      </c>
    </row>
    <row r="16" spans="4:8" x14ac:dyDescent="0.3">
      <c r="D16" t="s">
        <v>3</v>
      </c>
      <c r="E16" t="s">
        <v>18</v>
      </c>
      <c r="F16">
        <v>4.3</v>
      </c>
      <c r="G16">
        <f t="shared" si="0"/>
        <v>0.87755102040816313</v>
      </c>
      <c r="H16">
        <f t="shared" si="1"/>
        <v>80</v>
      </c>
    </row>
    <row r="17" spans="4:8" x14ac:dyDescent="0.3">
      <c r="D17" t="s">
        <v>3</v>
      </c>
      <c r="E17" t="s">
        <v>19</v>
      </c>
      <c r="F17">
        <v>4.2</v>
      </c>
      <c r="G17">
        <f t="shared" si="0"/>
        <v>0.8571428571428571</v>
      </c>
      <c r="H17">
        <f t="shared" si="1"/>
        <v>80</v>
      </c>
    </row>
    <row r="18" spans="4:8" x14ac:dyDescent="0.3">
      <c r="D18" t="s">
        <v>3</v>
      </c>
      <c r="E18" t="s">
        <v>20</v>
      </c>
      <c r="F18">
        <v>10.7</v>
      </c>
      <c r="G18">
        <f t="shared" si="0"/>
        <v>2.1836734693877546</v>
      </c>
      <c r="H18">
        <f t="shared" si="1"/>
        <v>15</v>
      </c>
    </row>
    <row r="19" spans="4:8" x14ac:dyDescent="0.3">
      <c r="D19" t="s">
        <v>3</v>
      </c>
      <c r="E19" t="s">
        <v>21</v>
      </c>
      <c r="F19">
        <v>4.8</v>
      </c>
      <c r="G19">
        <f t="shared" si="0"/>
        <v>0.97959183673469374</v>
      </c>
      <c r="H19">
        <f t="shared" si="1"/>
        <v>80</v>
      </c>
    </row>
    <row r="20" spans="4:8" x14ac:dyDescent="0.3">
      <c r="D20" t="s">
        <v>3</v>
      </c>
      <c r="E20" t="s">
        <v>22</v>
      </c>
      <c r="F20">
        <v>6.2</v>
      </c>
      <c r="G20">
        <f t="shared" si="0"/>
        <v>1.2653061224489794</v>
      </c>
      <c r="H20">
        <f t="shared" si="1"/>
        <v>60</v>
      </c>
    </row>
    <row r="21" spans="4:8" x14ac:dyDescent="0.3">
      <c r="D21" t="s">
        <v>3</v>
      </c>
      <c r="E21" t="s">
        <v>23</v>
      </c>
      <c r="F21">
        <v>5</v>
      </c>
      <c r="G21">
        <f t="shared" si="0"/>
        <v>1.0204081632653061</v>
      </c>
      <c r="H21">
        <f t="shared" si="1"/>
        <v>60</v>
      </c>
    </row>
    <row r="22" spans="4:8" x14ac:dyDescent="0.3">
      <c r="D22" t="s">
        <v>3</v>
      </c>
      <c r="E22" t="s">
        <v>24</v>
      </c>
      <c r="F22">
        <v>11.8</v>
      </c>
      <c r="G22">
        <f t="shared" si="0"/>
        <v>2.4081632653061225</v>
      </c>
      <c r="H22">
        <f t="shared" si="1"/>
        <v>15</v>
      </c>
    </row>
    <row r="23" spans="4:8" x14ac:dyDescent="0.3">
      <c r="D23" t="s">
        <v>3</v>
      </c>
      <c r="E23" t="s">
        <v>25</v>
      </c>
      <c r="F23">
        <v>10.6</v>
      </c>
      <c r="G23">
        <f t="shared" si="0"/>
        <v>2.1632653061224487</v>
      </c>
      <c r="H23">
        <f t="shared" si="1"/>
        <v>15</v>
      </c>
    </row>
    <row r="24" spans="4:8" x14ac:dyDescent="0.3">
      <c r="D24" t="s">
        <v>3</v>
      </c>
      <c r="E24" t="s">
        <v>26</v>
      </c>
      <c r="F24">
        <v>1.5</v>
      </c>
      <c r="G24">
        <f t="shared" si="0"/>
        <v>0.30612244897959179</v>
      </c>
      <c r="H24">
        <f t="shared" si="1"/>
        <v>100</v>
      </c>
    </row>
    <row r="25" spans="4:8" x14ac:dyDescent="0.3">
      <c r="D25" t="s">
        <v>3</v>
      </c>
      <c r="E25" t="s">
        <v>27</v>
      </c>
      <c r="F25">
        <v>10</v>
      </c>
      <c r="G25">
        <f t="shared" si="0"/>
        <v>2.0408163265306123</v>
      </c>
      <c r="H25">
        <f t="shared" si="1"/>
        <v>15</v>
      </c>
    </row>
    <row r="26" spans="4:8" x14ac:dyDescent="0.3">
      <c r="D26" t="s">
        <v>3</v>
      </c>
      <c r="E26" t="s">
        <v>28</v>
      </c>
      <c r="F26">
        <v>5.2</v>
      </c>
      <c r="G26">
        <f t="shared" si="0"/>
        <v>1.0612244897959184</v>
      </c>
      <c r="H26">
        <f t="shared" si="1"/>
        <v>60</v>
      </c>
    </row>
    <row r="27" spans="4:8" x14ac:dyDescent="0.3">
      <c r="D27" t="s">
        <v>3</v>
      </c>
      <c r="E27" t="s">
        <v>29</v>
      </c>
      <c r="F27">
        <v>13.1</v>
      </c>
      <c r="G27">
        <f t="shared" si="0"/>
        <v>2.6734693877551017</v>
      </c>
      <c r="H27">
        <f t="shared" si="1"/>
        <v>10</v>
      </c>
    </row>
    <row r="28" spans="4:8" x14ac:dyDescent="0.3">
      <c r="D28" t="s">
        <v>3</v>
      </c>
      <c r="E28" t="s">
        <v>30</v>
      </c>
      <c r="F28">
        <v>4</v>
      </c>
      <c r="G28">
        <f t="shared" si="0"/>
        <v>0.81632653061224481</v>
      </c>
      <c r="H28">
        <f t="shared" si="1"/>
        <v>80</v>
      </c>
    </row>
    <row r="29" spans="4:8" x14ac:dyDescent="0.3">
      <c r="D29" t="s">
        <v>3</v>
      </c>
      <c r="E29" t="s">
        <v>31</v>
      </c>
      <c r="F29">
        <v>4.7</v>
      </c>
      <c r="G29">
        <f t="shared" si="0"/>
        <v>0.95918367346938771</v>
      </c>
      <c r="H29">
        <f t="shared" si="1"/>
        <v>80</v>
      </c>
    </row>
    <row r="30" spans="4:8" x14ac:dyDescent="0.3">
      <c r="D30" t="s">
        <v>3</v>
      </c>
      <c r="E30" t="s">
        <v>32</v>
      </c>
      <c r="F30">
        <v>1.7</v>
      </c>
      <c r="G30">
        <f t="shared" si="0"/>
        <v>0.34693877551020402</v>
      </c>
      <c r="H30">
        <f t="shared" si="1"/>
        <v>100</v>
      </c>
    </row>
    <row r="31" spans="4:8" x14ac:dyDescent="0.3">
      <c r="D31" t="s">
        <v>3</v>
      </c>
      <c r="E31" t="s">
        <v>33</v>
      </c>
      <c r="F31">
        <v>4.5999999999999996</v>
      </c>
      <c r="G31">
        <f t="shared" si="0"/>
        <v>0.93877551020408145</v>
      </c>
      <c r="H31">
        <f t="shared" si="1"/>
        <v>80</v>
      </c>
    </row>
    <row r="32" spans="4:8" x14ac:dyDescent="0.3">
      <c r="D32" t="s">
        <v>34</v>
      </c>
      <c r="E32" t="s">
        <v>35</v>
      </c>
      <c r="F32">
        <v>10.199999999999999</v>
      </c>
      <c r="G32">
        <f t="shared" si="0"/>
        <v>2.0816326530612241</v>
      </c>
      <c r="H32">
        <f t="shared" si="1"/>
        <v>15</v>
      </c>
    </row>
    <row r="33" spans="4:8" x14ac:dyDescent="0.3">
      <c r="D33" t="s">
        <v>34</v>
      </c>
      <c r="E33" t="s">
        <v>36</v>
      </c>
      <c r="F33">
        <v>6.1</v>
      </c>
      <c r="G33">
        <f t="shared" si="0"/>
        <v>1.2448979591836733</v>
      </c>
      <c r="H33">
        <f t="shared" si="1"/>
        <v>60</v>
      </c>
    </row>
    <row r="34" spans="4:8" x14ac:dyDescent="0.3">
      <c r="D34" t="s">
        <v>34</v>
      </c>
      <c r="E34" t="s">
        <v>37</v>
      </c>
      <c r="F34">
        <v>3.1</v>
      </c>
      <c r="G34">
        <f t="shared" si="0"/>
        <v>0.63265306122448972</v>
      </c>
      <c r="H34">
        <f t="shared" si="1"/>
        <v>80</v>
      </c>
    </row>
    <row r="35" spans="4:8" x14ac:dyDescent="0.3">
      <c r="D35" t="s">
        <v>34</v>
      </c>
      <c r="E35" t="s">
        <v>38</v>
      </c>
      <c r="F35">
        <v>12.2</v>
      </c>
      <c r="G35">
        <f t="shared" si="0"/>
        <v>2.4897959183673466</v>
      </c>
      <c r="H35">
        <f t="shared" si="1"/>
        <v>15</v>
      </c>
    </row>
    <row r="36" spans="4:8" x14ac:dyDescent="0.3">
      <c r="D36" t="s">
        <v>34</v>
      </c>
      <c r="E36" t="s">
        <v>39</v>
      </c>
      <c r="F36">
        <v>10.3</v>
      </c>
      <c r="G36">
        <f t="shared" si="0"/>
        <v>2.1020408163265305</v>
      </c>
      <c r="H36">
        <f t="shared" si="1"/>
        <v>15</v>
      </c>
    </row>
    <row r="37" spans="4:8" x14ac:dyDescent="0.3">
      <c r="D37" t="s">
        <v>34</v>
      </c>
      <c r="E37" t="s">
        <v>40</v>
      </c>
      <c r="F37">
        <v>10.5</v>
      </c>
      <c r="G37">
        <f t="shared" si="0"/>
        <v>2.1428571428571428</v>
      </c>
      <c r="H37">
        <f t="shared" si="1"/>
        <v>15</v>
      </c>
    </row>
    <row r="38" spans="4:8" x14ac:dyDescent="0.3">
      <c r="D38" t="s">
        <v>34</v>
      </c>
      <c r="E38" t="s">
        <v>41</v>
      </c>
      <c r="F38">
        <v>10.3</v>
      </c>
      <c r="G38">
        <f t="shared" si="0"/>
        <v>2.1020408163265305</v>
      </c>
      <c r="H38">
        <f t="shared" si="1"/>
        <v>15</v>
      </c>
    </row>
    <row r="39" spans="4:8" x14ac:dyDescent="0.3">
      <c r="D39" t="s">
        <v>34</v>
      </c>
      <c r="E39" t="s">
        <v>42</v>
      </c>
      <c r="F39">
        <v>12.8</v>
      </c>
      <c r="G39">
        <f t="shared" si="0"/>
        <v>2.6122448979591835</v>
      </c>
      <c r="H39">
        <f t="shared" si="1"/>
        <v>10</v>
      </c>
    </row>
    <row r="40" spans="4:8" x14ac:dyDescent="0.3">
      <c r="D40" t="s">
        <v>34</v>
      </c>
      <c r="E40" t="s">
        <v>43</v>
      </c>
      <c r="F40">
        <v>9.3000000000000007</v>
      </c>
      <c r="G40">
        <f t="shared" si="0"/>
        <v>1.8979591836734695</v>
      </c>
      <c r="H40">
        <f t="shared" si="1"/>
        <v>20</v>
      </c>
    </row>
    <row r="41" spans="4:8" x14ac:dyDescent="0.3">
      <c r="D41" t="s">
        <v>34</v>
      </c>
      <c r="E41" t="s">
        <v>44</v>
      </c>
      <c r="F41">
        <v>9.6</v>
      </c>
      <c r="G41">
        <f t="shared" si="0"/>
        <v>1.9591836734693875</v>
      </c>
      <c r="H41">
        <f t="shared" si="1"/>
        <v>20</v>
      </c>
    </row>
    <row r="42" spans="4:8" x14ac:dyDescent="0.3">
      <c r="D42" t="s">
        <v>34</v>
      </c>
      <c r="E42" t="s">
        <v>45</v>
      </c>
      <c r="F42">
        <v>14.8</v>
      </c>
      <c r="G42">
        <f t="shared" si="0"/>
        <v>3.0204081632653059</v>
      </c>
      <c r="H42">
        <f t="shared" si="1"/>
        <v>10</v>
      </c>
    </row>
    <row r="43" spans="4:8" x14ac:dyDescent="0.3">
      <c r="D43" t="s">
        <v>34</v>
      </c>
      <c r="E43" t="s">
        <v>46</v>
      </c>
      <c r="F43">
        <v>8.8000000000000007</v>
      </c>
      <c r="G43">
        <f t="shared" si="0"/>
        <v>1.7959183673469388</v>
      </c>
      <c r="H43">
        <f t="shared" si="1"/>
        <v>20</v>
      </c>
    </row>
    <row r="44" spans="4:8" x14ac:dyDescent="0.3">
      <c r="D44" t="s">
        <v>34</v>
      </c>
      <c r="E44" t="s">
        <v>47</v>
      </c>
      <c r="F44">
        <v>10.4</v>
      </c>
      <c r="G44">
        <f t="shared" si="0"/>
        <v>2.1224489795918369</v>
      </c>
      <c r="H44">
        <f t="shared" si="1"/>
        <v>15</v>
      </c>
    </row>
    <row r="45" spans="4:8" x14ac:dyDescent="0.3">
      <c r="D45" t="s">
        <v>34</v>
      </c>
      <c r="E45" t="s">
        <v>48</v>
      </c>
      <c r="F45">
        <v>6.1</v>
      </c>
      <c r="G45">
        <f t="shared" si="0"/>
        <v>1.2448979591836733</v>
      </c>
      <c r="H45">
        <f t="shared" si="1"/>
        <v>60</v>
      </c>
    </row>
    <row r="46" spans="4:8" x14ac:dyDescent="0.3">
      <c r="D46" t="s">
        <v>34</v>
      </c>
      <c r="E46" t="s">
        <v>49</v>
      </c>
      <c r="F46">
        <v>8.1</v>
      </c>
      <c r="G46">
        <f t="shared" si="0"/>
        <v>1.6530612244897958</v>
      </c>
      <c r="H46">
        <f t="shared" si="1"/>
        <v>20</v>
      </c>
    </row>
    <row r="47" spans="4:8" x14ac:dyDescent="0.3">
      <c r="D47" t="s">
        <v>34</v>
      </c>
      <c r="E47" t="s">
        <v>50</v>
      </c>
      <c r="F47">
        <v>10.4</v>
      </c>
      <c r="G47">
        <f t="shared" si="0"/>
        <v>2.1224489795918369</v>
      </c>
      <c r="H47">
        <f t="shared" si="1"/>
        <v>15</v>
      </c>
    </row>
    <row r="48" spans="4:8" x14ac:dyDescent="0.3">
      <c r="D48" t="s">
        <v>34</v>
      </c>
      <c r="E48" t="s">
        <v>51</v>
      </c>
      <c r="F48">
        <v>11.2</v>
      </c>
      <c r="G48">
        <f t="shared" si="0"/>
        <v>2.2857142857142856</v>
      </c>
      <c r="H48">
        <f t="shared" si="1"/>
        <v>15</v>
      </c>
    </row>
    <row r="49" spans="4:8" x14ac:dyDescent="0.3">
      <c r="D49" t="s">
        <v>34</v>
      </c>
      <c r="E49" t="s">
        <v>52</v>
      </c>
      <c r="F49">
        <v>12.8</v>
      </c>
      <c r="G49">
        <f t="shared" si="0"/>
        <v>2.6122448979591835</v>
      </c>
      <c r="H49">
        <f t="shared" si="1"/>
        <v>10</v>
      </c>
    </row>
    <row r="50" spans="4:8" x14ac:dyDescent="0.3">
      <c r="D50" t="s">
        <v>34</v>
      </c>
      <c r="E50" t="s">
        <v>53</v>
      </c>
      <c r="F50">
        <v>8.8000000000000007</v>
      </c>
      <c r="G50">
        <f t="shared" si="0"/>
        <v>1.7959183673469388</v>
      </c>
      <c r="H50">
        <f t="shared" si="1"/>
        <v>20</v>
      </c>
    </row>
    <row r="51" spans="4:8" x14ac:dyDescent="0.3">
      <c r="D51" t="s">
        <v>34</v>
      </c>
      <c r="E51" t="s">
        <v>54</v>
      </c>
      <c r="F51">
        <v>2.2999999999999998</v>
      </c>
      <c r="G51">
        <f t="shared" si="0"/>
        <v>0.46938775510204073</v>
      </c>
      <c r="H51">
        <f t="shared" si="1"/>
        <v>100</v>
      </c>
    </row>
    <row r="52" spans="4:8" x14ac:dyDescent="0.3">
      <c r="D52" t="s">
        <v>34</v>
      </c>
      <c r="E52" t="s">
        <v>55</v>
      </c>
      <c r="F52">
        <v>9.1999999999999993</v>
      </c>
      <c r="G52">
        <f t="shared" si="0"/>
        <v>1.8775510204081629</v>
      </c>
      <c r="H52">
        <f t="shared" si="1"/>
        <v>20</v>
      </c>
    </row>
    <row r="53" spans="4:8" x14ac:dyDescent="0.3">
      <c r="D53" t="s">
        <v>34</v>
      </c>
      <c r="E53" t="s">
        <v>56</v>
      </c>
      <c r="F53">
        <v>3</v>
      </c>
      <c r="G53">
        <f t="shared" si="0"/>
        <v>0.61224489795918358</v>
      </c>
      <c r="H53">
        <f t="shared" si="1"/>
        <v>80</v>
      </c>
    </row>
    <row r="54" spans="4:8" x14ac:dyDescent="0.3">
      <c r="D54" t="s">
        <v>34</v>
      </c>
      <c r="E54" t="s">
        <v>57</v>
      </c>
      <c r="F54">
        <v>8.3000000000000007</v>
      </c>
      <c r="G54">
        <f t="shared" si="0"/>
        <v>1.6938775510204083</v>
      </c>
      <c r="H54">
        <f t="shared" si="1"/>
        <v>20</v>
      </c>
    </row>
    <row r="55" spans="4:8" x14ac:dyDescent="0.3">
      <c r="D55" t="s">
        <v>58</v>
      </c>
      <c r="E55" t="s">
        <v>59</v>
      </c>
      <c r="F55">
        <v>8.6999999999999993</v>
      </c>
      <c r="G55">
        <f t="shared" si="0"/>
        <v>1.7755102040816324</v>
      </c>
      <c r="H55">
        <f t="shared" si="1"/>
        <v>20</v>
      </c>
    </row>
    <row r="56" spans="4:8" x14ac:dyDescent="0.3">
      <c r="D56" t="s">
        <v>58</v>
      </c>
      <c r="E56" t="s">
        <v>60</v>
      </c>
      <c r="F56">
        <v>5.6</v>
      </c>
      <c r="G56">
        <f t="shared" si="0"/>
        <v>1.1428571428571428</v>
      </c>
      <c r="H56">
        <f t="shared" si="1"/>
        <v>60</v>
      </c>
    </row>
    <row r="57" spans="4:8" x14ac:dyDescent="0.3">
      <c r="D57" t="s">
        <v>58</v>
      </c>
      <c r="E57" t="s">
        <v>61</v>
      </c>
      <c r="F57">
        <v>11.3</v>
      </c>
      <c r="G57">
        <f t="shared" si="0"/>
        <v>2.306122448979592</v>
      </c>
      <c r="H57">
        <f t="shared" si="1"/>
        <v>15</v>
      </c>
    </row>
    <row r="58" spans="4:8" x14ac:dyDescent="0.3">
      <c r="D58" t="s">
        <v>58</v>
      </c>
      <c r="E58" t="s">
        <v>62</v>
      </c>
      <c r="F58">
        <v>14.3</v>
      </c>
      <c r="G58">
        <f t="shared" si="0"/>
        <v>2.9183673469387754</v>
      </c>
      <c r="H58">
        <f t="shared" si="1"/>
        <v>10</v>
      </c>
    </row>
    <row r="59" spans="4:8" x14ac:dyDescent="0.3">
      <c r="D59" t="s">
        <v>58</v>
      </c>
      <c r="E59" t="s">
        <v>63</v>
      </c>
      <c r="F59">
        <v>11.3</v>
      </c>
      <c r="G59">
        <f t="shared" si="0"/>
        <v>2.306122448979592</v>
      </c>
      <c r="H59">
        <f t="shared" si="1"/>
        <v>15</v>
      </c>
    </row>
    <row r="60" spans="4:8" x14ac:dyDescent="0.3">
      <c r="D60" t="s">
        <v>58</v>
      </c>
      <c r="E60" t="s">
        <v>64</v>
      </c>
      <c r="F60">
        <v>13.6</v>
      </c>
      <c r="G60">
        <f t="shared" si="0"/>
        <v>2.7755102040816322</v>
      </c>
      <c r="H60">
        <f t="shared" si="1"/>
        <v>10</v>
      </c>
    </row>
    <row r="61" spans="4:8" x14ac:dyDescent="0.3">
      <c r="D61" t="s">
        <v>58</v>
      </c>
      <c r="E61" t="s">
        <v>65</v>
      </c>
      <c r="F61">
        <v>10.8</v>
      </c>
      <c r="G61">
        <f t="shared" si="0"/>
        <v>2.204081632653061</v>
      </c>
      <c r="H61">
        <f t="shared" si="1"/>
        <v>15</v>
      </c>
    </row>
    <row r="62" spans="4:8" x14ac:dyDescent="0.3">
      <c r="D62" t="s">
        <v>58</v>
      </c>
      <c r="E62" t="s">
        <v>66</v>
      </c>
      <c r="F62">
        <v>11.5</v>
      </c>
      <c r="G62">
        <f t="shared" si="0"/>
        <v>2.3469387755102038</v>
      </c>
      <c r="H62">
        <f t="shared" si="1"/>
        <v>15</v>
      </c>
    </row>
    <row r="63" spans="4:8" x14ac:dyDescent="0.3">
      <c r="D63" t="s">
        <v>58</v>
      </c>
      <c r="E63" t="s">
        <v>67</v>
      </c>
      <c r="F63">
        <v>5.5</v>
      </c>
      <c r="G63">
        <f t="shared" si="0"/>
        <v>1.1224489795918366</v>
      </c>
      <c r="H63">
        <f t="shared" si="1"/>
        <v>60</v>
      </c>
    </row>
    <row r="64" spans="4:8" x14ac:dyDescent="0.3">
      <c r="D64" t="s">
        <v>58</v>
      </c>
      <c r="E64" t="s">
        <v>68</v>
      </c>
      <c r="F64">
        <v>5.2</v>
      </c>
      <c r="G64">
        <f t="shared" si="0"/>
        <v>1.0612244897959184</v>
      </c>
      <c r="H64">
        <f t="shared" si="1"/>
        <v>60</v>
      </c>
    </row>
    <row r="65" spans="4:8" x14ac:dyDescent="0.3">
      <c r="D65" t="s">
        <v>58</v>
      </c>
      <c r="E65" t="s">
        <v>69</v>
      </c>
      <c r="F65">
        <v>3.7</v>
      </c>
      <c r="G65">
        <f t="shared" si="0"/>
        <v>0.75510204081632648</v>
      </c>
      <c r="H65">
        <f t="shared" si="1"/>
        <v>80</v>
      </c>
    </row>
    <row r="66" spans="4:8" x14ac:dyDescent="0.3">
      <c r="D66" t="s">
        <v>58</v>
      </c>
      <c r="E66" t="s">
        <v>70</v>
      </c>
      <c r="F66">
        <v>9.3000000000000007</v>
      </c>
      <c r="G66">
        <f t="shared" si="0"/>
        <v>1.8979591836734695</v>
      </c>
      <c r="H66">
        <f t="shared" si="1"/>
        <v>20</v>
      </c>
    </row>
    <row r="67" spans="4:8" x14ac:dyDescent="0.3">
      <c r="D67" t="s">
        <v>58</v>
      </c>
      <c r="E67" t="s">
        <v>71</v>
      </c>
      <c r="F67">
        <v>7.9</v>
      </c>
      <c r="G67">
        <f t="shared" ref="G67:G130" si="2">F67/4.9</f>
        <v>1.6122448979591837</v>
      </c>
      <c r="H67">
        <f t="shared" ref="H67:H130" si="3">IF(G67&lt;=0.6,100,IF(G67&lt;=1,80,IF(G67&lt;=1.3,60,IF(G67&lt;=1.6,40,IF(G67&lt;=2,20,IF(G67&lt;=2.5,15,10))))))</f>
        <v>20</v>
      </c>
    </row>
    <row r="68" spans="4:8" x14ac:dyDescent="0.3">
      <c r="D68" t="s">
        <v>58</v>
      </c>
      <c r="E68" t="s">
        <v>72</v>
      </c>
      <c r="F68">
        <v>5.3</v>
      </c>
      <c r="G68">
        <f t="shared" si="2"/>
        <v>1.0816326530612244</v>
      </c>
      <c r="H68">
        <f t="shared" si="3"/>
        <v>60</v>
      </c>
    </row>
    <row r="69" spans="4:8" x14ac:dyDescent="0.3">
      <c r="D69" t="s">
        <v>58</v>
      </c>
      <c r="E69" t="s">
        <v>73</v>
      </c>
      <c r="F69">
        <v>7.2</v>
      </c>
      <c r="G69">
        <f t="shared" si="2"/>
        <v>1.4693877551020407</v>
      </c>
      <c r="H69">
        <f t="shared" si="3"/>
        <v>40</v>
      </c>
    </row>
    <row r="70" spans="4:8" x14ac:dyDescent="0.3">
      <c r="D70" t="s">
        <v>58</v>
      </c>
      <c r="E70" t="s">
        <v>74</v>
      </c>
      <c r="F70">
        <v>6.2</v>
      </c>
      <c r="G70">
        <f t="shared" si="2"/>
        <v>1.2653061224489794</v>
      </c>
      <c r="H70">
        <f t="shared" si="3"/>
        <v>60</v>
      </c>
    </row>
    <row r="71" spans="4:8" x14ac:dyDescent="0.3">
      <c r="D71" t="s">
        <v>58</v>
      </c>
      <c r="E71" t="s">
        <v>22</v>
      </c>
      <c r="F71">
        <v>7.4</v>
      </c>
      <c r="G71">
        <f t="shared" si="2"/>
        <v>1.510204081632653</v>
      </c>
      <c r="H71">
        <f t="shared" si="3"/>
        <v>40</v>
      </c>
    </row>
    <row r="72" spans="4:8" x14ac:dyDescent="0.3">
      <c r="D72" t="s">
        <v>58</v>
      </c>
      <c r="E72" t="s">
        <v>75</v>
      </c>
      <c r="F72">
        <v>8.1999999999999993</v>
      </c>
      <c r="G72">
        <f t="shared" si="2"/>
        <v>1.6734693877551017</v>
      </c>
      <c r="H72">
        <f t="shared" si="3"/>
        <v>20</v>
      </c>
    </row>
    <row r="73" spans="4:8" x14ac:dyDescent="0.3">
      <c r="D73" t="s">
        <v>58</v>
      </c>
      <c r="E73" t="s">
        <v>76</v>
      </c>
      <c r="F73">
        <v>14.5</v>
      </c>
      <c r="G73">
        <f t="shared" si="2"/>
        <v>2.9591836734693877</v>
      </c>
      <c r="H73">
        <f t="shared" si="3"/>
        <v>10</v>
      </c>
    </row>
    <row r="74" spans="4:8" x14ac:dyDescent="0.3">
      <c r="D74" t="s">
        <v>58</v>
      </c>
      <c r="E74" t="s">
        <v>77</v>
      </c>
      <c r="F74">
        <v>9.8000000000000007</v>
      </c>
      <c r="G74">
        <f t="shared" si="2"/>
        <v>2</v>
      </c>
      <c r="H74">
        <f t="shared" si="3"/>
        <v>20</v>
      </c>
    </row>
    <row r="75" spans="4:8" x14ac:dyDescent="0.3">
      <c r="D75" t="s">
        <v>58</v>
      </c>
      <c r="E75" t="s">
        <v>78</v>
      </c>
      <c r="F75">
        <v>7</v>
      </c>
      <c r="G75">
        <f t="shared" si="2"/>
        <v>1.4285714285714284</v>
      </c>
      <c r="H75">
        <f t="shared" si="3"/>
        <v>40</v>
      </c>
    </row>
    <row r="76" spans="4:8" x14ac:dyDescent="0.3">
      <c r="D76" t="s">
        <v>58</v>
      </c>
      <c r="E76" t="s">
        <v>79</v>
      </c>
      <c r="F76">
        <v>8.1</v>
      </c>
      <c r="G76">
        <f t="shared" si="2"/>
        <v>1.6530612244897958</v>
      </c>
      <c r="H76">
        <f t="shared" si="3"/>
        <v>20</v>
      </c>
    </row>
    <row r="77" spans="4:8" x14ac:dyDescent="0.3">
      <c r="D77" t="s">
        <v>58</v>
      </c>
      <c r="E77" t="s">
        <v>80</v>
      </c>
      <c r="F77">
        <v>4.2</v>
      </c>
      <c r="G77">
        <f t="shared" si="2"/>
        <v>0.8571428571428571</v>
      </c>
      <c r="H77">
        <f t="shared" si="3"/>
        <v>80</v>
      </c>
    </row>
    <row r="78" spans="4:8" x14ac:dyDescent="0.3">
      <c r="D78" t="s">
        <v>58</v>
      </c>
      <c r="E78" t="s">
        <v>81</v>
      </c>
      <c r="F78">
        <v>7.7</v>
      </c>
      <c r="G78">
        <f t="shared" si="2"/>
        <v>1.5714285714285714</v>
      </c>
      <c r="H78">
        <f t="shared" si="3"/>
        <v>40</v>
      </c>
    </row>
    <row r="79" spans="4:8" x14ac:dyDescent="0.3">
      <c r="D79" t="s">
        <v>82</v>
      </c>
      <c r="E79" t="s">
        <v>83</v>
      </c>
      <c r="F79">
        <v>3.6</v>
      </c>
      <c r="G79">
        <f t="shared" si="2"/>
        <v>0.73469387755102034</v>
      </c>
      <c r="H79">
        <f t="shared" si="3"/>
        <v>80</v>
      </c>
    </row>
    <row r="80" spans="4:8" x14ac:dyDescent="0.3">
      <c r="D80" t="s">
        <v>82</v>
      </c>
      <c r="E80" t="s">
        <v>84</v>
      </c>
      <c r="F80">
        <v>5.6</v>
      </c>
      <c r="G80">
        <f t="shared" si="2"/>
        <v>1.1428571428571428</v>
      </c>
      <c r="H80">
        <f t="shared" si="3"/>
        <v>60</v>
      </c>
    </row>
    <row r="81" spans="4:8" x14ac:dyDescent="0.3">
      <c r="D81" t="s">
        <v>82</v>
      </c>
      <c r="E81" t="s">
        <v>85</v>
      </c>
      <c r="F81">
        <v>7.1</v>
      </c>
      <c r="G81">
        <f t="shared" si="2"/>
        <v>1.4489795918367345</v>
      </c>
      <c r="H81">
        <f t="shared" si="3"/>
        <v>40</v>
      </c>
    </row>
    <row r="82" spans="4:8" x14ac:dyDescent="0.3">
      <c r="D82" t="s">
        <v>82</v>
      </c>
      <c r="E82" t="s">
        <v>86</v>
      </c>
      <c r="F82">
        <v>5.7</v>
      </c>
      <c r="G82">
        <f t="shared" si="2"/>
        <v>1.1632653061224489</v>
      </c>
      <c r="H82">
        <f t="shared" si="3"/>
        <v>60</v>
      </c>
    </row>
    <row r="83" spans="4:8" x14ac:dyDescent="0.3">
      <c r="D83" t="s">
        <v>82</v>
      </c>
      <c r="E83" t="s">
        <v>87</v>
      </c>
      <c r="F83">
        <v>2.1</v>
      </c>
      <c r="G83">
        <f t="shared" si="2"/>
        <v>0.42857142857142855</v>
      </c>
      <c r="H83">
        <f t="shared" si="3"/>
        <v>100</v>
      </c>
    </row>
    <row r="84" spans="4:8" x14ac:dyDescent="0.3">
      <c r="D84" t="s">
        <v>82</v>
      </c>
      <c r="E84" t="s">
        <v>88</v>
      </c>
      <c r="F84">
        <v>9</v>
      </c>
      <c r="G84">
        <f t="shared" si="2"/>
        <v>1.8367346938775508</v>
      </c>
      <c r="H84">
        <f t="shared" si="3"/>
        <v>20</v>
      </c>
    </row>
    <row r="85" spans="4:8" x14ac:dyDescent="0.3">
      <c r="D85" t="s">
        <v>82</v>
      </c>
      <c r="E85" t="s">
        <v>89</v>
      </c>
      <c r="F85">
        <v>4.4000000000000004</v>
      </c>
      <c r="G85">
        <f t="shared" si="2"/>
        <v>0.89795918367346939</v>
      </c>
      <c r="H85">
        <f t="shared" si="3"/>
        <v>80</v>
      </c>
    </row>
    <row r="86" spans="4:8" x14ac:dyDescent="0.3">
      <c r="D86" t="s">
        <v>82</v>
      </c>
      <c r="E86" t="s">
        <v>90</v>
      </c>
      <c r="F86">
        <v>2.5</v>
      </c>
      <c r="G86">
        <f t="shared" si="2"/>
        <v>0.51020408163265307</v>
      </c>
      <c r="H86">
        <f t="shared" si="3"/>
        <v>100</v>
      </c>
    </row>
    <row r="87" spans="4:8" x14ac:dyDescent="0.3">
      <c r="D87" t="s">
        <v>82</v>
      </c>
      <c r="E87" t="s">
        <v>91</v>
      </c>
      <c r="F87">
        <v>6.4</v>
      </c>
      <c r="G87">
        <f t="shared" si="2"/>
        <v>1.3061224489795917</v>
      </c>
      <c r="H87">
        <f t="shared" si="3"/>
        <v>40</v>
      </c>
    </row>
    <row r="88" spans="4:8" x14ac:dyDescent="0.3">
      <c r="D88" t="s">
        <v>82</v>
      </c>
      <c r="E88" t="s">
        <v>92</v>
      </c>
      <c r="F88">
        <v>6.7</v>
      </c>
      <c r="G88">
        <f t="shared" si="2"/>
        <v>1.3673469387755102</v>
      </c>
      <c r="H88">
        <f t="shared" si="3"/>
        <v>40</v>
      </c>
    </row>
    <row r="89" spans="4:8" x14ac:dyDescent="0.3">
      <c r="D89" t="s">
        <v>82</v>
      </c>
      <c r="E89" t="s">
        <v>93</v>
      </c>
      <c r="F89">
        <v>4.8</v>
      </c>
      <c r="G89">
        <f t="shared" si="2"/>
        <v>0.97959183673469374</v>
      </c>
      <c r="H89">
        <f t="shared" si="3"/>
        <v>80</v>
      </c>
    </row>
    <row r="90" spans="4:8" x14ac:dyDescent="0.3">
      <c r="D90" t="s">
        <v>82</v>
      </c>
      <c r="E90" t="s">
        <v>94</v>
      </c>
      <c r="F90">
        <v>5</v>
      </c>
      <c r="G90">
        <f t="shared" si="2"/>
        <v>1.0204081632653061</v>
      </c>
      <c r="H90">
        <f t="shared" si="3"/>
        <v>60</v>
      </c>
    </row>
    <row r="91" spans="4:8" x14ac:dyDescent="0.3">
      <c r="D91" t="s">
        <v>82</v>
      </c>
      <c r="E91" t="s">
        <v>95</v>
      </c>
      <c r="F91">
        <v>2.4</v>
      </c>
      <c r="G91">
        <f t="shared" si="2"/>
        <v>0.48979591836734687</v>
      </c>
      <c r="H91">
        <f t="shared" si="3"/>
        <v>100</v>
      </c>
    </row>
    <row r="92" spans="4:8" x14ac:dyDescent="0.3">
      <c r="D92" t="s">
        <v>82</v>
      </c>
      <c r="E92" t="s">
        <v>96</v>
      </c>
      <c r="F92">
        <v>3</v>
      </c>
      <c r="G92">
        <f t="shared" si="2"/>
        <v>0.61224489795918358</v>
      </c>
      <c r="H92">
        <f t="shared" si="3"/>
        <v>80</v>
      </c>
    </row>
    <row r="93" spans="4:8" x14ac:dyDescent="0.3">
      <c r="D93" t="s">
        <v>97</v>
      </c>
      <c r="E93" t="s">
        <v>98</v>
      </c>
      <c r="F93">
        <v>4.5999999999999996</v>
      </c>
      <c r="G93">
        <f t="shared" si="2"/>
        <v>0.93877551020408145</v>
      </c>
      <c r="H93">
        <f t="shared" si="3"/>
        <v>80</v>
      </c>
    </row>
    <row r="94" spans="4:8" x14ac:dyDescent="0.3">
      <c r="D94" t="s">
        <v>97</v>
      </c>
      <c r="E94" t="s">
        <v>99</v>
      </c>
      <c r="F94">
        <v>7</v>
      </c>
      <c r="G94">
        <f t="shared" si="2"/>
        <v>1.4285714285714284</v>
      </c>
      <c r="H94">
        <f t="shared" si="3"/>
        <v>40</v>
      </c>
    </row>
    <row r="95" spans="4:8" x14ac:dyDescent="0.3">
      <c r="D95" t="s">
        <v>97</v>
      </c>
      <c r="E95" t="s">
        <v>100</v>
      </c>
      <c r="F95">
        <v>7.9</v>
      </c>
      <c r="G95">
        <f t="shared" si="2"/>
        <v>1.6122448979591837</v>
      </c>
      <c r="H95">
        <f t="shared" si="3"/>
        <v>20</v>
      </c>
    </row>
    <row r="96" spans="4:8" x14ac:dyDescent="0.3">
      <c r="D96" t="s">
        <v>97</v>
      </c>
      <c r="E96" t="s">
        <v>101</v>
      </c>
      <c r="F96">
        <v>7.4</v>
      </c>
      <c r="G96">
        <f t="shared" si="2"/>
        <v>1.510204081632653</v>
      </c>
      <c r="H96">
        <f t="shared" si="3"/>
        <v>40</v>
      </c>
    </row>
    <row r="97" spans="4:8" x14ac:dyDescent="0.3">
      <c r="D97" t="s">
        <v>97</v>
      </c>
      <c r="E97" t="s">
        <v>102</v>
      </c>
      <c r="F97">
        <v>5.0999999999999996</v>
      </c>
      <c r="G97">
        <f t="shared" si="2"/>
        <v>1.0408163265306121</v>
      </c>
      <c r="H97">
        <f t="shared" si="3"/>
        <v>60</v>
      </c>
    </row>
    <row r="98" spans="4:8" x14ac:dyDescent="0.3">
      <c r="D98" t="s">
        <v>97</v>
      </c>
      <c r="E98" t="s">
        <v>103</v>
      </c>
      <c r="F98">
        <v>4.7</v>
      </c>
      <c r="G98">
        <f t="shared" si="2"/>
        <v>0.95918367346938771</v>
      </c>
      <c r="H98">
        <f t="shared" si="3"/>
        <v>80</v>
      </c>
    </row>
    <row r="99" spans="4:8" x14ac:dyDescent="0.3">
      <c r="D99" t="s">
        <v>97</v>
      </c>
      <c r="E99" t="s">
        <v>104</v>
      </c>
      <c r="F99">
        <v>5.4</v>
      </c>
      <c r="G99">
        <f t="shared" si="2"/>
        <v>1.1020408163265305</v>
      </c>
      <c r="H99">
        <f t="shared" si="3"/>
        <v>60</v>
      </c>
    </row>
    <row r="100" spans="4:8" x14ac:dyDescent="0.3">
      <c r="D100" t="s">
        <v>97</v>
      </c>
      <c r="E100" t="s">
        <v>105</v>
      </c>
      <c r="F100">
        <v>8.5</v>
      </c>
      <c r="G100">
        <f t="shared" si="2"/>
        <v>1.7346938775510203</v>
      </c>
      <c r="H100">
        <f t="shared" si="3"/>
        <v>20</v>
      </c>
    </row>
    <row r="101" spans="4:8" x14ac:dyDescent="0.3">
      <c r="D101" t="s">
        <v>97</v>
      </c>
      <c r="E101" t="s">
        <v>106</v>
      </c>
      <c r="F101">
        <v>5.7</v>
      </c>
      <c r="G101">
        <f t="shared" si="2"/>
        <v>1.1632653061224489</v>
      </c>
      <c r="H101">
        <f t="shared" si="3"/>
        <v>60</v>
      </c>
    </row>
    <row r="102" spans="4:8" x14ac:dyDescent="0.3">
      <c r="D102" t="s">
        <v>97</v>
      </c>
      <c r="E102" t="s">
        <v>107</v>
      </c>
      <c r="F102">
        <v>7.2</v>
      </c>
      <c r="G102">
        <f t="shared" si="2"/>
        <v>1.4693877551020407</v>
      </c>
      <c r="H102">
        <f t="shared" si="3"/>
        <v>40</v>
      </c>
    </row>
    <row r="103" spans="4:8" x14ac:dyDescent="0.3">
      <c r="D103" t="s">
        <v>97</v>
      </c>
      <c r="E103" t="s">
        <v>108</v>
      </c>
      <c r="F103">
        <v>6.5</v>
      </c>
      <c r="G103">
        <f t="shared" si="2"/>
        <v>1.3265306122448979</v>
      </c>
      <c r="H103">
        <f t="shared" si="3"/>
        <v>40</v>
      </c>
    </row>
    <row r="104" spans="4:8" x14ac:dyDescent="0.3">
      <c r="D104" t="s">
        <v>97</v>
      </c>
      <c r="E104" t="s">
        <v>109</v>
      </c>
      <c r="F104">
        <v>6.6</v>
      </c>
      <c r="G104">
        <f t="shared" si="2"/>
        <v>1.3469387755102038</v>
      </c>
      <c r="H104">
        <f t="shared" si="3"/>
        <v>40</v>
      </c>
    </row>
    <row r="105" spans="4:8" x14ac:dyDescent="0.3">
      <c r="D105" t="s">
        <v>97</v>
      </c>
      <c r="E105" t="s">
        <v>110</v>
      </c>
      <c r="F105">
        <v>4.9000000000000004</v>
      </c>
      <c r="G105">
        <f t="shared" si="2"/>
        <v>1</v>
      </c>
      <c r="H105">
        <f t="shared" si="3"/>
        <v>80</v>
      </c>
    </row>
    <row r="106" spans="4:8" x14ac:dyDescent="0.3">
      <c r="D106" t="s">
        <v>97</v>
      </c>
      <c r="E106" t="s">
        <v>111</v>
      </c>
      <c r="F106">
        <v>2.9</v>
      </c>
      <c r="G106">
        <f t="shared" si="2"/>
        <v>0.59183673469387754</v>
      </c>
      <c r="H106">
        <f t="shared" si="3"/>
        <v>100</v>
      </c>
    </row>
    <row r="107" spans="4:8" x14ac:dyDescent="0.3">
      <c r="D107" t="s">
        <v>97</v>
      </c>
      <c r="E107" t="s">
        <v>112</v>
      </c>
      <c r="F107">
        <v>5</v>
      </c>
      <c r="G107">
        <f t="shared" si="2"/>
        <v>1.0204081632653061</v>
      </c>
      <c r="H107">
        <f t="shared" si="3"/>
        <v>60</v>
      </c>
    </row>
    <row r="108" spans="4:8" x14ac:dyDescent="0.3">
      <c r="D108" t="s">
        <v>97</v>
      </c>
      <c r="E108" t="s">
        <v>113</v>
      </c>
      <c r="F108">
        <v>3.9</v>
      </c>
      <c r="G108">
        <f t="shared" si="2"/>
        <v>0.79591836734693866</v>
      </c>
      <c r="H108">
        <f t="shared" si="3"/>
        <v>80</v>
      </c>
    </row>
    <row r="109" spans="4:8" x14ac:dyDescent="0.3">
      <c r="D109" t="s">
        <v>97</v>
      </c>
      <c r="E109" t="s">
        <v>75</v>
      </c>
      <c r="F109">
        <v>7.8</v>
      </c>
      <c r="G109">
        <f t="shared" si="2"/>
        <v>1.5918367346938773</v>
      </c>
      <c r="H109">
        <f t="shared" si="3"/>
        <v>40</v>
      </c>
    </row>
    <row r="110" spans="4:8" x14ac:dyDescent="0.3">
      <c r="D110" t="s">
        <v>97</v>
      </c>
      <c r="E110" t="s">
        <v>114</v>
      </c>
      <c r="F110">
        <v>5.8</v>
      </c>
      <c r="G110">
        <f t="shared" si="2"/>
        <v>1.1836734693877551</v>
      </c>
      <c r="H110">
        <f t="shared" si="3"/>
        <v>60</v>
      </c>
    </row>
    <row r="111" spans="4:8" x14ac:dyDescent="0.3">
      <c r="D111" t="s">
        <v>97</v>
      </c>
      <c r="E111" t="s">
        <v>115</v>
      </c>
      <c r="F111">
        <v>4.5</v>
      </c>
      <c r="G111">
        <f t="shared" si="2"/>
        <v>0.91836734693877542</v>
      </c>
      <c r="H111">
        <f t="shared" si="3"/>
        <v>80</v>
      </c>
    </row>
    <row r="112" spans="4:8" x14ac:dyDescent="0.3">
      <c r="D112" t="s">
        <v>97</v>
      </c>
      <c r="E112" t="s">
        <v>116</v>
      </c>
      <c r="F112">
        <v>6.9</v>
      </c>
      <c r="G112">
        <f t="shared" si="2"/>
        <v>1.4081632653061225</v>
      </c>
      <c r="H112">
        <f t="shared" si="3"/>
        <v>40</v>
      </c>
    </row>
    <row r="113" spans="4:8" x14ac:dyDescent="0.3">
      <c r="D113" t="s">
        <v>97</v>
      </c>
      <c r="E113" t="s">
        <v>117</v>
      </c>
      <c r="F113">
        <v>5.5</v>
      </c>
      <c r="G113">
        <f t="shared" si="2"/>
        <v>1.1224489795918366</v>
      </c>
      <c r="H113">
        <f t="shared" si="3"/>
        <v>60</v>
      </c>
    </row>
    <row r="114" spans="4:8" x14ac:dyDescent="0.3">
      <c r="D114" t="s">
        <v>97</v>
      </c>
      <c r="E114" t="s">
        <v>118</v>
      </c>
      <c r="F114">
        <v>4.5</v>
      </c>
      <c r="G114">
        <f t="shared" si="2"/>
        <v>0.91836734693877542</v>
      </c>
      <c r="H114">
        <f t="shared" si="3"/>
        <v>80</v>
      </c>
    </row>
    <row r="115" spans="4:8" x14ac:dyDescent="0.3">
      <c r="D115" t="s">
        <v>97</v>
      </c>
      <c r="E115" t="s">
        <v>119</v>
      </c>
      <c r="F115">
        <v>5.7</v>
      </c>
      <c r="G115">
        <f t="shared" si="2"/>
        <v>1.1632653061224489</v>
      </c>
      <c r="H115">
        <f t="shared" si="3"/>
        <v>60</v>
      </c>
    </row>
    <row r="116" spans="4:8" x14ac:dyDescent="0.3">
      <c r="D116" t="s">
        <v>97</v>
      </c>
      <c r="E116" t="s">
        <v>120</v>
      </c>
      <c r="F116">
        <v>4.3</v>
      </c>
      <c r="G116">
        <f t="shared" si="2"/>
        <v>0.87755102040816313</v>
      </c>
      <c r="H116">
        <f t="shared" si="3"/>
        <v>80</v>
      </c>
    </row>
    <row r="117" spans="4:8" x14ac:dyDescent="0.3">
      <c r="D117" t="s">
        <v>121</v>
      </c>
      <c r="E117" t="s">
        <v>122</v>
      </c>
      <c r="F117">
        <v>2.5</v>
      </c>
      <c r="G117">
        <f t="shared" si="2"/>
        <v>0.51020408163265307</v>
      </c>
      <c r="H117">
        <f t="shared" si="3"/>
        <v>100</v>
      </c>
    </row>
    <row r="118" spans="4:8" x14ac:dyDescent="0.3">
      <c r="D118" t="s">
        <v>121</v>
      </c>
      <c r="E118" t="s">
        <v>123</v>
      </c>
      <c r="F118">
        <v>4.8</v>
      </c>
      <c r="G118">
        <f t="shared" si="2"/>
        <v>0.97959183673469374</v>
      </c>
      <c r="H118">
        <f t="shared" si="3"/>
        <v>80</v>
      </c>
    </row>
    <row r="119" spans="4:8" x14ac:dyDescent="0.3">
      <c r="D119" t="s">
        <v>121</v>
      </c>
      <c r="E119" t="s">
        <v>124</v>
      </c>
      <c r="F119">
        <v>6</v>
      </c>
      <c r="G119">
        <f t="shared" si="2"/>
        <v>1.2244897959183672</v>
      </c>
      <c r="H119">
        <f t="shared" si="3"/>
        <v>60</v>
      </c>
    </row>
    <row r="120" spans="4:8" x14ac:dyDescent="0.3">
      <c r="D120" t="s">
        <v>121</v>
      </c>
      <c r="E120" t="s">
        <v>125</v>
      </c>
      <c r="F120">
        <v>11.4</v>
      </c>
      <c r="G120">
        <f t="shared" si="2"/>
        <v>2.3265306122448979</v>
      </c>
      <c r="H120">
        <f t="shared" si="3"/>
        <v>15</v>
      </c>
    </row>
    <row r="121" spans="4:8" x14ac:dyDescent="0.3">
      <c r="D121" t="s">
        <v>121</v>
      </c>
      <c r="E121" t="s">
        <v>126</v>
      </c>
      <c r="F121">
        <v>6.1</v>
      </c>
      <c r="G121">
        <f t="shared" si="2"/>
        <v>1.2448979591836733</v>
      </c>
      <c r="H121">
        <f t="shared" si="3"/>
        <v>60</v>
      </c>
    </row>
    <row r="122" spans="4:8" x14ac:dyDescent="0.3">
      <c r="D122" t="s">
        <v>121</v>
      </c>
      <c r="E122" t="s">
        <v>127</v>
      </c>
      <c r="F122">
        <v>4.2</v>
      </c>
      <c r="G122">
        <f t="shared" si="2"/>
        <v>0.8571428571428571</v>
      </c>
      <c r="H122">
        <f t="shared" si="3"/>
        <v>80</v>
      </c>
    </row>
    <row r="123" spans="4:8" x14ac:dyDescent="0.3">
      <c r="D123" t="s">
        <v>121</v>
      </c>
      <c r="E123" t="s">
        <v>128</v>
      </c>
      <c r="F123">
        <v>6.7</v>
      </c>
      <c r="G123">
        <f t="shared" si="2"/>
        <v>1.3673469387755102</v>
      </c>
      <c r="H123">
        <f t="shared" si="3"/>
        <v>40</v>
      </c>
    </row>
    <row r="124" spans="4:8" x14ac:dyDescent="0.3">
      <c r="D124" t="s">
        <v>121</v>
      </c>
      <c r="E124" t="s">
        <v>129</v>
      </c>
      <c r="F124">
        <v>5.2</v>
      </c>
      <c r="G124">
        <f t="shared" si="2"/>
        <v>1.0612244897959184</v>
      </c>
      <c r="H124">
        <f t="shared" si="3"/>
        <v>60</v>
      </c>
    </row>
    <row r="125" spans="4:8" x14ac:dyDescent="0.3">
      <c r="D125" t="s">
        <v>121</v>
      </c>
      <c r="E125" t="s">
        <v>130</v>
      </c>
      <c r="F125">
        <v>3.2</v>
      </c>
      <c r="G125">
        <f t="shared" si="2"/>
        <v>0.65306122448979587</v>
      </c>
      <c r="H125">
        <f t="shared" si="3"/>
        <v>80</v>
      </c>
    </row>
    <row r="126" spans="4:8" x14ac:dyDescent="0.3">
      <c r="D126" t="s">
        <v>121</v>
      </c>
      <c r="E126" t="s">
        <v>131</v>
      </c>
      <c r="F126">
        <v>7.8</v>
      </c>
      <c r="G126">
        <f t="shared" si="2"/>
        <v>1.5918367346938773</v>
      </c>
      <c r="H126">
        <f t="shared" si="3"/>
        <v>40</v>
      </c>
    </row>
    <row r="127" spans="4:8" x14ac:dyDescent="0.3">
      <c r="D127" t="s">
        <v>121</v>
      </c>
      <c r="E127" t="s">
        <v>132</v>
      </c>
      <c r="F127">
        <v>4.7</v>
      </c>
      <c r="G127">
        <f t="shared" si="2"/>
        <v>0.95918367346938771</v>
      </c>
      <c r="H127">
        <f t="shared" si="3"/>
        <v>80</v>
      </c>
    </row>
    <row r="128" spans="4:8" x14ac:dyDescent="0.3">
      <c r="D128" t="s">
        <v>121</v>
      </c>
      <c r="E128" t="s">
        <v>133</v>
      </c>
      <c r="F128">
        <v>6.6</v>
      </c>
      <c r="G128">
        <f t="shared" si="2"/>
        <v>1.3469387755102038</v>
      </c>
      <c r="H128">
        <f t="shared" si="3"/>
        <v>40</v>
      </c>
    </row>
    <row r="129" spans="4:8" x14ac:dyDescent="0.3">
      <c r="D129" t="s">
        <v>121</v>
      </c>
      <c r="E129" t="s">
        <v>134</v>
      </c>
      <c r="F129">
        <v>4.7</v>
      </c>
      <c r="G129">
        <f t="shared" si="2"/>
        <v>0.95918367346938771</v>
      </c>
      <c r="H129">
        <f t="shared" si="3"/>
        <v>80</v>
      </c>
    </row>
    <row r="130" spans="4:8" x14ac:dyDescent="0.3">
      <c r="D130" t="s">
        <v>121</v>
      </c>
      <c r="E130" t="s">
        <v>135</v>
      </c>
      <c r="F130">
        <v>5.2</v>
      </c>
      <c r="G130">
        <f t="shared" si="2"/>
        <v>1.0612244897959184</v>
      </c>
      <c r="H130">
        <f t="shared" si="3"/>
        <v>60</v>
      </c>
    </row>
    <row r="131" spans="4:8" x14ac:dyDescent="0.3">
      <c r="D131" t="s">
        <v>121</v>
      </c>
      <c r="E131" t="s">
        <v>136</v>
      </c>
      <c r="F131">
        <v>4.4000000000000004</v>
      </c>
      <c r="G131">
        <f t="shared" ref="G131:G194" si="4">F131/4.9</f>
        <v>0.89795918367346939</v>
      </c>
      <c r="H131">
        <f t="shared" ref="H131:H194" si="5">IF(G131&lt;=0.6,100,IF(G131&lt;=1,80,IF(G131&lt;=1.3,60,IF(G131&lt;=1.6,40,IF(G131&lt;=2,20,IF(G131&lt;=2.5,15,10))))))</f>
        <v>80</v>
      </c>
    </row>
    <row r="132" spans="4:8" x14ac:dyDescent="0.3">
      <c r="D132" t="s">
        <v>121</v>
      </c>
      <c r="E132" t="s">
        <v>137</v>
      </c>
      <c r="F132">
        <v>6.4</v>
      </c>
      <c r="G132">
        <f t="shared" si="4"/>
        <v>1.3061224489795917</v>
      </c>
      <c r="H132">
        <f t="shared" si="5"/>
        <v>40</v>
      </c>
    </row>
    <row r="133" spans="4:8" x14ac:dyDescent="0.3">
      <c r="D133" t="s">
        <v>121</v>
      </c>
      <c r="E133" t="s">
        <v>138</v>
      </c>
      <c r="F133">
        <v>8.3000000000000007</v>
      </c>
      <c r="G133">
        <f t="shared" si="4"/>
        <v>1.6938775510204083</v>
      </c>
      <c r="H133">
        <f t="shared" si="5"/>
        <v>20</v>
      </c>
    </row>
    <row r="134" spans="4:8" x14ac:dyDescent="0.3">
      <c r="D134" t="s">
        <v>121</v>
      </c>
      <c r="E134" t="s">
        <v>139</v>
      </c>
      <c r="F134">
        <v>5.4</v>
      </c>
      <c r="G134">
        <f t="shared" si="4"/>
        <v>1.1020408163265305</v>
      </c>
      <c r="H134">
        <f t="shared" si="5"/>
        <v>60</v>
      </c>
    </row>
    <row r="135" spans="4:8" x14ac:dyDescent="0.3">
      <c r="D135" t="s">
        <v>121</v>
      </c>
      <c r="E135" t="s">
        <v>140</v>
      </c>
      <c r="F135">
        <v>3.4</v>
      </c>
      <c r="G135">
        <f t="shared" si="4"/>
        <v>0.69387755102040805</v>
      </c>
      <c r="H135">
        <f t="shared" si="5"/>
        <v>80</v>
      </c>
    </row>
    <row r="136" spans="4:8" x14ac:dyDescent="0.3">
      <c r="D136" t="s">
        <v>121</v>
      </c>
      <c r="E136" t="s">
        <v>141</v>
      </c>
      <c r="F136">
        <v>2.1</v>
      </c>
      <c r="G136">
        <f t="shared" si="4"/>
        <v>0.42857142857142855</v>
      </c>
      <c r="H136">
        <f t="shared" si="5"/>
        <v>100</v>
      </c>
    </row>
    <row r="137" spans="4:8" x14ac:dyDescent="0.3">
      <c r="D137" t="s">
        <v>121</v>
      </c>
      <c r="E137" t="s">
        <v>142</v>
      </c>
      <c r="F137">
        <v>3.4</v>
      </c>
      <c r="G137">
        <f t="shared" si="4"/>
        <v>0.69387755102040805</v>
      </c>
      <c r="H137">
        <f t="shared" si="5"/>
        <v>80</v>
      </c>
    </row>
    <row r="138" spans="4:8" x14ac:dyDescent="0.3">
      <c r="D138" t="s">
        <v>121</v>
      </c>
      <c r="E138" t="s">
        <v>143</v>
      </c>
      <c r="F138">
        <v>4.2</v>
      </c>
      <c r="G138">
        <f t="shared" si="4"/>
        <v>0.8571428571428571</v>
      </c>
      <c r="H138">
        <f t="shared" si="5"/>
        <v>80</v>
      </c>
    </row>
    <row r="139" spans="4:8" x14ac:dyDescent="0.3">
      <c r="D139" t="s">
        <v>144</v>
      </c>
      <c r="E139" t="s">
        <v>145</v>
      </c>
      <c r="F139">
        <v>7</v>
      </c>
      <c r="G139">
        <f t="shared" si="4"/>
        <v>1.4285714285714284</v>
      </c>
      <c r="H139">
        <f t="shared" si="5"/>
        <v>40</v>
      </c>
    </row>
    <row r="140" spans="4:8" x14ac:dyDescent="0.3">
      <c r="D140" t="s">
        <v>144</v>
      </c>
      <c r="E140" t="s">
        <v>146</v>
      </c>
      <c r="F140">
        <v>8.1</v>
      </c>
      <c r="G140">
        <f t="shared" si="4"/>
        <v>1.6530612244897958</v>
      </c>
      <c r="H140">
        <f t="shared" si="5"/>
        <v>20</v>
      </c>
    </row>
    <row r="141" spans="4:8" x14ac:dyDescent="0.3">
      <c r="D141" t="s">
        <v>144</v>
      </c>
      <c r="E141" t="s">
        <v>147</v>
      </c>
      <c r="F141">
        <v>8.5</v>
      </c>
      <c r="G141">
        <f t="shared" si="4"/>
        <v>1.7346938775510203</v>
      </c>
      <c r="H141">
        <f t="shared" si="5"/>
        <v>20</v>
      </c>
    </row>
    <row r="142" spans="4:8" x14ac:dyDescent="0.3">
      <c r="D142" t="s">
        <v>144</v>
      </c>
      <c r="E142" t="s">
        <v>148</v>
      </c>
      <c r="F142">
        <v>10.7</v>
      </c>
      <c r="G142">
        <f t="shared" si="4"/>
        <v>2.1836734693877546</v>
      </c>
      <c r="H142">
        <f t="shared" si="5"/>
        <v>15</v>
      </c>
    </row>
    <row r="143" spans="4:8" x14ac:dyDescent="0.3">
      <c r="D143" t="s">
        <v>144</v>
      </c>
      <c r="E143" t="s">
        <v>149</v>
      </c>
      <c r="F143">
        <v>2.6</v>
      </c>
      <c r="G143">
        <f t="shared" si="4"/>
        <v>0.53061224489795922</v>
      </c>
      <c r="H143">
        <f t="shared" si="5"/>
        <v>100</v>
      </c>
    </row>
    <row r="144" spans="4:8" x14ac:dyDescent="0.3">
      <c r="D144" t="s">
        <v>144</v>
      </c>
      <c r="E144" t="s">
        <v>150</v>
      </c>
      <c r="F144">
        <v>2.8</v>
      </c>
      <c r="G144">
        <f t="shared" si="4"/>
        <v>0.5714285714285714</v>
      </c>
      <c r="H144">
        <f t="shared" si="5"/>
        <v>100</v>
      </c>
    </row>
    <row r="145" spans="4:8" x14ac:dyDescent="0.3">
      <c r="D145" t="s">
        <v>144</v>
      </c>
      <c r="E145" t="s">
        <v>151</v>
      </c>
      <c r="F145">
        <v>9.4</v>
      </c>
      <c r="G145">
        <f t="shared" si="4"/>
        <v>1.9183673469387754</v>
      </c>
      <c r="H145">
        <f t="shared" si="5"/>
        <v>20</v>
      </c>
    </row>
    <row r="146" spans="4:8" x14ac:dyDescent="0.3">
      <c r="D146" t="s">
        <v>144</v>
      </c>
      <c r="E146" t="s">
        <v>152</v>
      </c>
      <c r="F146">
        <v>5.8</v>
      </c>
      <c r="G146">
        <f t="shared" si="4"/>
        <v>1.1836734693877551</v>
      </c>
      <c r="H146">
        <f t="shared" si="5"/>
        <v>60</v>
      </c>
    </row>
    <row r="147" spans="4:8" x14ac:dyDescent="0.3">
      <c r="D147" t="s">
        <v>144</v>
      </c>
      <c r="E147" t="s">
        <v>153</v>
      </c>
      <c r="F147">
        <v>12.2</v>
      </c>
      <c r="G147">
        <f t="shared" si="4"/>
        <v>2.4897959183673466</v>
      </c>
      <c r="H147">
        <f t="shared" si="5"/>
        <v>15</v>
      </c>
    </row>
    <row r="148" spans="4:8" x14ac:dyDescent="0.3">
      <c r="D148" t="s">
        <v>144</v>
      </c>
      <c r="E148" t="s">
        <v>154</v>
      </c>
      <c r="F148">
        <v>4.9000000000000004</v>
      </c>
      <c r="G148">
        <f t="shared" si="4"/>
        <v>1</v>
      </c>
      <c r="H148">
        <f t="shared" si="5"/>
        <v>80</v>
      </c>
    </row>
    <row r="149" spans="4:8" x14ac:dyDescent="0.3">
      <c r="D149" t="s">
        <v>144</v>
      </c>
      <c r="E149" t="s">
        <v>155</v>
      </c>
      <c r="F149">
        <v>16.3</v>
      </c>
      <c r="G149">
        <f t="shared" si="4"/>
        <v>3.3265306122448979</v>
      </c>
      <c r="H149">
        <f t="shared" si="5"/>
        <v>10</v>
      </c>
    </row>
    <row r="150" spans="4:8" x14ac:dyDescent="0.3">
      <c r="D150" t="s">
        <v>144</v>
      </c>
      <c r="E150" t="s">
        <v>156</v>
      </c>
      <c r="F150">
        <v>4.3</v>
      </c>
      <c r="G150">
        <f t="shared" si="4"/>
        <v>0.87755102040816313</v>
      </c>
      <c r="H150">
        <f t="shared" si="5"/>
        <v>80</v>
      </c>
    </row>
    <row r="151" spans="4:8" x14ac:dyDescent="0.3">
      <c r="D151" t="s">
        <v>144</v>
      </c>
      <c r="E151" t="s">
        <v>157</v>
      </c>
      <c r="F151">
        <v>6.3</v>
      </c>
      <c r="G151">
        <f t="shared" si="4"/>
        <v>1.2857142857142856</v>
      </c>
      <c r="H151">
        <f t="shared" si="5"/>
        <v>60</v>
      </c>
    </row>
    <row r="152" spans="4:8" x14ac:dyDescent="0.3">
      <c r="D152" t="s">
        <v>144</v>
      </c>
      <c r="E152" t="s">
        <v>158</v>
      </c>
      <c r="F152">
        <v>5.4</v>
      </c>
      <c r="G152">
        <f t="shared" si="4"/>
        <v>1.1020408163265305</v>
      </c>
      <c r="H152">
        <f t="shared" si="5"/>
        <v>60</v>
      </c>
    </row>
    <row r="153" spans="4:8" x14ac:dyDescent="0.3">
      <c r="D153" t="s">
        <v>144</v>
      </c>
      <c r="E153" t="s">
        <v>159</v>
      </c>
      <c r="F153">
        <v>8.9</v>
      </c>
      <c r="G153">
        <f t="shared" si="4"/>
        <v>1.8163265306122449</v>
      </c>
      <c r="H153">
        <f t="shared" si="5"/>
        <v>20</v>
      </c>
    </row>
    <row r="154" spans="4:8" x14ac:dyDescent="0.3">
      <c r="D154" t="s">
        <v>144</v>
      </c>
      <c r="E154" t="s">
        <v>160</v>
      </c>
      <c r="F154">
        <v>9.1999999999999993</v>
      </c>
      <c r="G154">
        <f t="shared" si="4"/>
        <v>1.8775510204081629</v>
      </c>
      <c r="H154">
        <f t="shared" si="5"/>
        <v>20</v>
      </c>
    </row>
    <row r="155" spans="4:8" x14ac:dyDescent="0.3">
      <c r="D155" t="s">
        <v>144</v>
      </c>
      <c r="E155" t="s">
        <v>161</v>
      </c>
      <c r="F155">
        <v>3.3</v>
      </c>
      <c r="G155">
        <f t="shared" si="4"/>
        <v>0.6734693877551019</v>
      </c>
      <c r="H155">
        <f t="shared" si="5"/>
        <v>80</v>
      </c>
    </row>
    <row r="156" spans="4:8" x14ac:dyDescent="0.3">
      <c r="D156" t="s">
        <v>144</v>
      </c>
      <c r="E156" t="s">
        <v>162</v>
      </c>
      <c r="F156">
        <v>3.4</v>
      </c>
      <c r="G156">
        <f t="shared" si="4"/>
        <v>0.69387755102040805</v>
      </c>
      <c r="H156">
        <f t="shared" si="5"/>
        <v>80</v>
      </c>
    </row>
    <row r="157" spans="4:8" x14ac:dyDescent="0.3">
      <c r="D157" t="s">
        <v>144</v>
      </c>
      <c r="E157" t="s">
        <v>163</v>
      </c>
      <c r="F157">
        <v>9.4</v>
      </c>
      <c r="G157">
        <f t="shared" si="4"/>
        <v>1.9183673469387754</v>
      </c>
      <c r="H157">
        <f t="shared" si="5"/>
        <v>20</v>
      </c>
    </row>
    <row r="158" spans="4:8" x14ac:dyDescent="0.3">
      <c r="D158" t="s">
        <v>144</v>
      </c>
      <c r="E158" t="s">
        <v>164</v>
      </c>
      <c r="F158">
        <v>10</v>
      </c>
      <c r="G158">
        <f t="shared" si="4"/>
        <v>2.0408163265306123</v>
      </c>
      <c r="H158">
        <f t="shared" si="5"/>
        <v>15</v>
      </c>
    </row>
    <row r="159" spans="4:8" x14ac:dyDescent="0.3">
      <c r="D159" t="s">
        <v>144</v>
      </c>
      <c r="E159" t="s">
        <v>165</v>
      </c>
      <c r="F159">
        <v>2.2000000000000002</v>
      </c>
      <c r="G159">
        <f t="shared" si="4"/>
        <v>0.44897959183673469</v>
      </c>
      <c r="H159">
        <f t="shared" si="5"/>
        <v>100</v>
      </c>
    </row>
    <row r="160" spans="4:8" x14ac:dyDescent="0.3">
      <c r="D160" t="s">
        <v>144</v>
      </c>
      <c r="E160" t="s">
        <v>166</v>
      </c>
      <c r="F160">
        <v>9</v>
      </c>
      <c r="G160">
        <f t="shared" si="4"/>
        <v>1.8367346938775508</v>
      </c>
      <c r="H160">
        <f t="shared" si="5"/>
        <v>20</v>
      </c>
    </row>
    <row r="161" spans="4:8" x14ac:dyDescent="0.3">
      <c r="D161" t="s">
        <v>144</v>
      </c>
      <c r="E161" t="s">
        <v>167</v>
      </c>
      <c r="F161">
        <v>18</v>
      </c>
      <c r="G161">
        <f t="shared" si="4"/>
        <v>3.6734693877551017</v>
      </c>
      <c r="H161">
        <f t="shared" si="5"/>
        <v>10</v>
      </c>
    </row>
    <row r="162" spans="4:8" x14ac:dyDescent="0.3">
      <c r="D162" t="s">
        <v>144</v>
      </c>
      <c r="E162" t="s">
        <v>168</v>
      </c>
      <c r="F162">
        <v>13.2</v>
      </c>
      <c r="G162">
        <f t="shared" si="4"/>
        <v>2.6938775510204076</v>
      </c>
      <c r="H162">
        <f t="shared" si="5"/>
        <v>10</v>
      </c>
    </row>
    <row r="163" spans="4:8" x14ac:dyDescent="0.3">
      <c r="D163" t="s">
        <v>144</v>
      </c>
      <c r="E163" t="s">
        <v>169</v>
      </c>
      <c r="F163">
        <v>15.9</v>
      </c>
      <c r="G163">
        <f t="shared" si="4"/>
        <v>3.2448979591836733</v>
      </c>
      <c r="H163">
        <f t="shared" si="5"/>
        <v>10</v>
      </c>
    </row>
    <row r="164" spans="4:8" x14ac:dyDescent="0.3">
      <c r="D164" t="s">
        <v>144</v>
      </c>
      <c r="E164" t="s">
        <v>170</v>
      </c>
      <c r="F164">
        <v>4.8</v>
      </c>
      <c r="G164">
        <f t="shared" si="4"/>
        <v>0.97959183673469374</v>
      </c>
      <c r="H164">
        <f t="shared" si="5"/>
        <v>80</v>
      </c>
    </row>
    <row r="165" spans="4:8" x14ac:dyDescent="0.3">
      <c r="D165" t="s">
        <v>144</v>
      </c>
      <c r="E165" t="s">
        <v>171</v>
      </c>
      <c r="F165">
        <v>10.6</v>
      </c>
      <c r="G165">
        <f t="shared" si="4"/>
        <v>2.1632653061224487</v>
      </c>
      <c r="H165">
        <f t="shared" si="5"/>
        <v>15</v>
      </c>
    </row>
    <row r="166" spans="4:8" x14ac:dyDescent="0.3">
      <c r="D166" t="s">
        <v>144</v>
      </c>
      <c r="E166" t="s">
        <v>172</v>
      </c>
      <c r="F166">
        <v>2.7</v>
      </c>
      <c r="G166">
        <f t="shared" si="4"/>
        <v>0.55102040816326525</v>
      </c>
      <c r="H166">
        <f t="shared" si="5"/>
        <v>100</v>
      </c>
    </row>
    <row r="167" spans="4:8" x14ac:dyDescent="0.3">
      <c r="D167" t="s">
        <v>144</v>
      </c>
      <c r="E167" t="s">
        <v>173</v>
      </c>
      <c r="F167">
        <v>5.0999999999999996</v>
      </c>
      <c r="G167">
        <f t="shared" si="4"/>
        <v>1.0408163265306121</v>
      </c>
      <c r="H167">
        <f t="shared" si="5"/>
        <v>60</v>
      </c>
    </row>
    <row r="168" spans="4:8" x14ac:dyDescent="0.3">
      <c r="D168" t="s">
        <v>144</v>
      </c>
      <c r="E168" t="s">
        <v>174</v>
      </c>
      <c r="F168">
        <v>22.9</v>
      </c>
      <c r="G168">
        <f t="shared" si="4"/>
        <v>4.6734693877551017</v>
      </c>
      <c r="H168">
        <f t="shared" si="5"/>
        <v>10</v>
      </c>
    </row>
    <row r="169" spans="4:8" x14ac:dyDescent="0.3">
      <c r="D169" t="s">
        <v>144</v>
      </c>
      <c r="E169" t="s">
        <v>175</v>
      </c>
      <c r="F169">
        <v>1.6</v>
      </c>
      <c r="G169">
        <f t="shared" si="4"/>
        <v>0.32653061224489793</v>
      </c>
      <c r="H169">
        <f t="shared" si="5"/>
        <v>100</v>
      </c>
    </row>
    <row r="170" spans="4:8" x14ac:dyDescent="0.3">
      <c r="D170" t="s">
        <v>144</v>
      </c>
      <c r="E170" t="s">
        <v>176</v>
      </c>
      <c r="F170">
        <v>5.3</v>
      </c>
      <c r="G170">
        <f t="shared" si="4"/>
        <v>1.0816326530612244</v>
      </c>
      <c r="H170">
        <f t="shared" si="5"/>
        <v>60</v>
      </c>
    </row>
    <row r="171" spans="4:8" x14ac:dyDescent="0.3">
      <c r="D171" t="s">
        <v>144</v>
      </c>
      <c r="E171" t="s">
        <v>177</v>
      </c>
      <c r="F171">
        <v>5.5</v>
      </c>
      <c r="G171">
        <f t="shared" si="4"/>
        <v>1.1224489795918366</v>
      </c>
      <c r="H171">
        <f t="shared" si="5"/>
        <v>60</v>
      </c>
    </row>
    <row r="172" spans="4:8" x14ac:dyDescent="0.3">
      <c r="D172" t="s">
        <v>144</v>
      </c>
      <c r="E172" t="s">
        <v>178</v>
      </c>
      <c r="F172">
        <v>2.9</v>
      </c>
      <c r="G172">
        <f t="shared" si="4"/>
        <v>0.59183673469387754</v>
      </c>
      <c r="H172">
        <f t="shared" si="5"/>
        <v>100</v>
      </c>
    </row>
    <row r="173" spans="4:8" x14ac:dyDescent="0.3">
      <c r="D173" t="s">
        <v>144</v>
      </c>
      <c r="E173" t="s">
        <v>179</v>
      </c>
      <c r="F173">
        <v>10.9</v>
      </c>
      <c r="G173">
        <f t="shared" si="4"/>
        <v>2.2244897959183674</v>
      </c>
      <c r="H173">
        <f t="shared" si="5"/>
        <v>15</v>
      </c>
    </row>
    <row r="174" spans="4:8" x14ac:dyDescent="0.3">
      <c r="D174" t="s">
        <v>144</v>
      </c>
      <c r="E174" t="s">
        <v>180</v>
      </c>
      <c r="F174">
        <v>13.1</v>
      </c>
      <c r="G174">
        <f t="shared" si="4"/>
        <v>2.6734693877551017</v>
      </c>
      <c r="H174">
        <f t="shared" si="5"/>
        <v>10</v>
      </c>
    </row>
    <row r="175" spans="4:8" x14ac:dyDescent="0.3">
      <c r="D175" t="s">
        <v>144</v>
      </c>
      <c r="E175" t="s">
        <v>181</v>
      </c>
      <c r="F175">
        <v>8.6999999999999993</v>
      </c>
      <c r="G175">
        <f t="shared" si="4"/>
        <v>1.7755102040816324</v>
      </c>
      <c r="H175">
        <f t="shared" si="5"/>
        <v>20</v>
      </c>
    </row>
    <row r="176" spans="4:8" x14ac:dyDescent="0.3">
      <c r="D176" t="s">
        <v>144</v>
      </c>
      <c r="E176" t="s">
        <v>182</v>
      </c>
      <c r="F176">
        <v>7.5</v>
      </c>
      <c r="G176">
        <f t="shared" si="4"/>
        <v>1.5306122448979591</v>
      </c>
      <c r="H176">
        <f t="shared" si="5"/>
        <v>40</v>
      </c>
    </row>
    <row r="177" spans="4:8" x14ac:dyDescent="0.3">
      <c r="D177" t="s">
        <v>144</v>
      </c>
      <c r="E177" t="s">
        <v>183</v>
      </c>
      <c r="F177">
        <v>5.0999999999999996</v>
      </c>
      <c r="G177">
        <f t="shared" si="4"/>
        <v>1.0408163265306121</v>
      </c>
      <c r="H177">
        <f t="shared" si="5"/>
        <v>60</v>
      </c>
    </row>
    <row r="178" spans="4:8" x14ac:dyDescent="0.3">
      <c r="D178" t="s">
        <v>144</v>
      </c>
      <c r="E178" t="s">
        <v>184</v>
      </c>
      <c r="F178">
        <v>9.4</v>
      </c>
      <c r="G178">
        <f t="shared" si="4"/>
        <v>1.9183673469387754</v>
      </c>
      <c r="H178">
        <f t="shared" si="5"/>
        <v>20</v>
      </c>
    </row>
    <row r="179" spans="4:8" x14ac:dyDescent="0.3">
      <c r="D179" t="s">
        <v>144</v>
      </c>
      <c r="E179" t="s">
        <v>185</v>
      </c>
      <c r="F179">
        <v>3.6</v>
      </c>
      <c r="G179">
        <f t="shared" si="4"/>
        <v>0.73469387755102034</v>
      </c>
      <c r="H179">
        <f t="shared" si="5"/>
        <v>80</v>
      </c>
    </row>
    <row r="180" spans="4:8" x14ac:dyDescent="0.3">
      <c r="D180" t="s">
        <v>144</v>
      </c>
      <c r="E180" t="s">
        <v>186</v>
      </c>
      <c r="F180">
        <v>1.4</v>
      </c>
      <c r="G180">
        <f t="shared" si="4"/>
        <v>0.2857142857142857</v>
      </c>
      <c r="H180">
        <f t="shared" si="5"/>
        <v>100</v>
      </c>
    </row>
    <row r="181" spans="4:8" x14ac:dyDescent="0.3">
      <c r="D181" t="s">
        <v>187</v>
      </c>
      <c r="E181" t="s">
        <v>123</v>
      </c>
      <c r="F181">
        <v>7.9</v>
      </c>
      <c r="G181">
        <f t="shared" si="4"/>
        <v>1.6122448979591837</v>
      </c>
      <c r="H181">
        <f t="shared" si="5"/>
        <v>20</v>
      </c>
    </row>
    <row r="182" spans="4:8" x14ac:dyDescent="0.3">
      <c r="D182" t="s">
        <v>187</v>
      </c>
      <c r="E182" t="s">
        <v>188</v>
      </c>
      <c r="F182">
        <v>9.6</v>
      </c>
      <c r="G182">
        <f t="shared" si="4"/>
        <v>1.9591836734693875</v>
      </c>
      <c r="H182">
        <f t="shared" si="5"/>
        <v>20</v>
      </c>
    </row>
    <row r="183" spans="4:8" x14ac:dyDescent="0.3">
      <c r="D183" t="s">
        <v>187</v>
      </c>
      <c r="E183" t="s">
        <v>189</v>
      </c>
      <c r="F183">
        <v>6.4</v>
      </c>
      <c r="G183">
        <f t="shared" si="4"/>
        <v>1.3061224489795917</v>
      </c>
      <c r="H183">
        <f t="shared" si="5"/>
        <v>40</v>
      </c>
    </row>
    <row r="184" spans="4:8" x14ac:dyDescent="0.3">
      <c r="D184" t="s">
        <v>187</v>
      </c>
      <c r="E184" t="s">
        <v>190</v>
      </c>
      <c r="F184">
        <v>6.2</v>
      </c>
      <c r="G184">
        <f t="shared" si="4"/>
        <v>1.2653061224489794</v>
      </c>
      <c r="H184">
        <f t="shared" si="5"/>
        <v>60</v>
      </c>
    </row>
    <row r="185" spans="4:8" x14ac:dyDescent="0.3">
      <c r="D185" t="s">
        <v>187</v>
      </c>
      <c r="E185" t="s">
        <v>191</v>
      </c>
      <c r="F185">
        <v>4.7</v>
      </c>
      <c r="G185">
        <f t="shared" si="4"/>
        <v>0.95918367346938771</v>
      </c>
      <c r="H185">
        <f t="shared" si="5"/>
        <v>80</v>
      </c>
    </row>
    <row r="186" spans="4:8" x14ac:dyDescent="0.3">
      <c r="D186" t="s">
        <v>187</v>
      </c>
      <c r="E186" t="s">
        <v>192</v>
      </c>
      <c r="F186">
        <v>9</v>
      </c>
      <c r="G186">
        <f t="shared" si="4"/>
        <v>1.8367346938775508</v>
      </c>
      <c r="H186">
        <f t="shared" si="5"/>
        <v>20</v>
      </c>
    </row>
    <row r="187" spans="4:8" x14ac:dyDescent="0.3">
      <c r="D187" t="s">
        <v>187</v>
      </c>
      <c r="E187" t="s">
        <v>193</v>
      </c>
      <c r="F187">
        <v>7</v>
      </c>
      <c r="G187">
        <f t="shared" si="4"/>
        <v>1.4285714285714284</v>
      </c>
      <c r="H187">
        <f t="shared" si="5"/>
        <v>40</v>
      </c>
    </row>
    <row r="188" spans="4:8" x14ac:dyDescent="0.3">
      <c r="D188" t="s">
        <v>187</v>
      </c>
      <c r="E188" t="s">
        <v>194</v>
      </c>
      <c r="F188">
        <v>4.4000000000000004</v>
      </c>
      <c r="G188">
        <f t="shared" si="4"/>
        <v>0.89795918367346939</v>
      </c>
      <c r="H188">
        <f t="shared" si="5"/>
        <v>80</v>
      </c>
    </row>
    <row r="189" spans="4:8" x14ac:dyDescent="0.3">
      <c r="D189" t="s">
        <v>187</v>
      </c>
      <c r="E189" t="s">
        <v>70</v>
      </c>
      <c r="F189">
        <v>5.6</v>
      </c>
      <c r="G189">
        <f t="shared" si="4"/>
        <v>1.1428571428571428</v>
      </c>
      <c r="H189">
        <f t="shared" si="5"/>
        <v>60</v>
      </c>
    </row>
    <row r="190" spans="4:8" x14ac:dyDescent="0.3">
      <c r="D190" t="s">
        <v>187</v>
      </c>
      <c r="E190" t="s">
        <v>195</v>
      </c>
      <c r="F190">
        <v>9.1999999999999993</v>
      </c>
      <c r="G190">
        <f t="shared" si="4"/>
        <v>1.8775510204081629</v>
      </c>
      <c r="H190">
        <f t="shared" si="5"/>
        <v>20</v>
      </c>
    </row>
    <row r="191" spans="4:8" x14ac:dyDescent="0.3">
      <c r="D191" t="s">
        <v>187</v>
      </c>
      <c r="E191" t="s">
        <v>196</v>
      </c>
      <c r="F191">
        <v>4.0999999999999996</v>
      </c>
      <c r="G191">
        <f t="shared" si="4"/>
        <v>0.83673469387755084</v>
      </c>
      <c r="H191">
        <f t="shared" si="5"/>
        <v>80</v>
      </c>
    </row>
    <row r="192" spans="4:8" x14ac:dyDescent="0.3">
      <c r="D192" t="s">
        <v>187</v>
      </c>
      <c r="E192" t="s">
        <v>197</v>
      </c>
      <c r="F192">
        <v>2.9</v>
      </c>
      <c r="G192">
        <f t="shared" si="4"/>
        <v>0.59183673469387754</v>
      </c>
      <c r="H192">
        <f t="shared" si="5"/>
        <v>100</v>
      </c>
    </row>
    <row r="193" spans="4:8" x14ac:dyDescent="0.3">
      <c r="D193" t="s">
        <v>198</v>
      </c>
      <c r="E193" t="s">
        <v>199</v>
      </c>
      <c r="F193">
        <v>15</v>
      </c>
      <c r="G193">
        <f t="shared" si="4"/>
        <v>3.0612244897959182</v>
      </c>
      <c r="H193">
        <f t="shared" si="5"/>
        <v>10</v>
      </c>
    </row>
    <row r="194" spans="4:8" x14ac:dyDescent="0.3">
      <c r="D194" t="s">
        <v>198</v>
      </c>
      <c r="E194" t="s">
        <v>200</v>
      </c>
      <c r="F194">
        <v>19.100000000000001</v>
      </c>
      <c r="G194">
        <f t="shared" si="4"/>
        <v>3.8979591836734695</v>
      </c>
      <c r="H194">
        <f t="shared" si="5"/>
        <v>10</v>
      </c>
    </row>
    <row r="195" spans="4:8" x14ac:dyDescent="0.3">
      <c r="D195" t="s">
        <v>198</v>
      </c>
      <c r="E195" t="s">
        <v>201</v>
      </c>
      <c r="F195">
        <v>4.4000000000000004</v>
      </c>
      <c r="G195">
        <f t="shared" ref="G195:G258" si="6">F195/4.9</f>
        <v>0.89795918367346939</v>
      </c>
      <c r="H195">
        <f t="shared" ref="H195:H258" si="7">IF(G195&lt;=0.6,100,IF(G195&lt;=1,80,IF(G195&lt;=1.3,60,IF(G195&lt;=1.6,40,IF(G195&lt;=2,20,IF(G195&lt;=2.5,15,10))))))</f>
        <v>80</v>
      </c>
    </row>
    <row r="196" spans="4:8" x14ac:dyDescent="0.3">
      <c r="D196" t="s">
        <v>198</v>
      </c>
      <c r="E196" t="s">
        <v>202</v>
      </c>
      <c r="F196">
        <v>10.5</v>
      </c>
      <c r="G196">
        <f t="shared" si="6"/>
        <v>2.1428571428571428</v>
      </c>
      <c r="H196">
        <f t="shared" si="7"/>
        <v>15</v>
      </c>
    </row>
    <row r="197" spans="4:8" x14ac:dyDescent="0.3">
      <c r="D197" t="s">
        <v>198</v>
      </c>
      <c r="E197" t="s">
        <v>203</v>
      </c>
      <c r="F197">
        <v>12.4</v>
      </c>
      <c r="G197">
        <f t="shared" si="6"/>
        <v>2.5306122448979589</v>
      </c>
      <c r="H197">
        <f t="shared" si="7"/>
        <v>10</v>
      </c>
    </row>
    <row r="198" spans="4:8" x14ac:dyDescent="0.3">
      <c r="D198" t="s">
        <v>198</v>
      </c>
      <c r="E198" t="s">
        <v>204</v>
      </c>
      <c r="F198">
        <v>8.1</v>
      </c>
      <c r="G198">
        <f t="shared" si="6"/>
        <v>1.6530612244897958</v>
      </c>
      <c r="H198">
        <f t="shared" si="7"/>
        <v>20</v>
      </c>
    </row>
    <row r="199" spans="4:8" x14ac:dyDescent="0.3">
      <c r="D199" t="s">
        <v>198</v>
      </c>
      <c r="E199" t="s">
        <v>84</v>
      </c>
      <c r="F199">
        <v>8.1</v>
      </c>
      <c r="G199">
        <f t="shared" si="6"/>
        <v>1.6530612244897958</v>
      </c>
      <c r="H199">
        <f t="shared" si="7"/>
        <v>20</v>
      </c>
    </row>
    <row r="200" spans="4:8" x14ac:dyDescent="0.3">
      <c r="D200" t="s">
        <v>198</v>
      </c>
      <c r="E200" t="s">
        <v>205</v>
      </c>
      <c r="F200">
        <v>17.399999999999999</v>
      </c>
      <c r="G200">
        <f t="shared" si="6"/>
        <v>3.5510204081632648</v>
      </c>
      <c r="H200">
        <f t="shared" si="7"/>
        <v>10</v>
      </c>
    </row>
    <row r="201" spans="4:8" x14ac:dyDescent="0.3">
      <c r="D201" t="s">
        <v>198</v>
      </c>
      <c r="E201" t="s">
        <v>206</v>
      </c>
      <c r="F201">
        <v>13.4</v>
      </c>
      <c r="G201">
        <f t="shared" si="6"/>
        <v>2.7346938775510203</v>
      </c>
      <c r="H201">
        <f t="shared" si="7"/>
        <v>10</v>
      </c>
    </row>
    <row r="202" spans="4:8" x14ac:dyDescent="0.3">
      <c r="D202" t="s">
        <v>198</v>
      </c>
      <c r="E202" t="s">
        <v>207</v>
      </c>
      <c r="F202">
        <v>9.5</v>
      </c>
      <c r="G202">
        <f t="shared" si="6"/>
        <v>1.9387755102040816</v>
      </c>
      <c r="H202">
        <f t="shared" si="7"/>
        <v>20</v>
      </c>
    </row>
    <row r="203" spans="4:8" x14ac:dyDescent="0.3">
      <c r="D203" t="s">
        <v>198</v>
      </c>
      <c r="E203" t="s">
        <v>208</v>
      </c>
      <c r="F203">
        <v>9.1</v>
      </c>
      <c r="G203">
        <f t="shared" si="6"/>
        <v>1.857142857142857</v>
      </c>
      <c r="H203">
        <f t="shared" si="7"/>
        <v>20</v>
      </c>
    </row>
    <row r="204" spans="4:8" x14ac:dyDescent="0.3">
      <c r="D204" t="s">
        <v>198</v>
      </c>
      <c r="E204" t="s">
        <v>209</v>
      </c>
      <c r="F204">
        <v>5</v>
      </c>
      <c r="G204">
        <f t="shared" si="6"/>
        <v>1.0204081632653061</v>
      </c>
      <c r="H204">
        <f t="shared" si="7"/>
        <v>60</v>
      </c>
    </row>
    <row r="205" spans="4:8" x14ac:dyDescent="0.3">
      <c r="D205" t="s">
        <v>198</v>
      </c>
      <c r="E205" t="s">
        <v>210</v>
      </c>
      <c r="F205">
        <v>15.7</v>
      </c>
      <c r="G205">
        <f t="shared" si="6"/>
        <v>3.204081632653061</v>
      </c>
      <c r="H205">
        <f t="shared" si="7"/>
        <v>10</v>
      </c>
    </row>
    <row r="206" spans="4:8" x14ac:dyDescent="0.3">
      <c r="D206" t="s">
        <v>198</v>
      </c>
      <c r="E206" t="s">
        <v>211</v>
      </c>
      <c r="F206">
        <v>14.6</v>
      </c>
      <c r="G206">
        <f t="shared" si="6"/>
        <v>2.9795918367346936</v>
      </c>
      <c r="H206">
        <f t="shared" si="7"/>
        <v>10</v>
      </c>
    </row>
    <row r="207" spans="4:8" x14ac:dyDescent="0.3">
      <c r="D207" t="s">
        <v>198</v>
      </c>
      <c r="E207" t="s">
        <v>212</v>
      </c>
      <c r="F207">
        <v>12.8</v>
      </c>
      <c r="G207">
        <f t="shared" si="6"/>
        <v>2.6122448979591835</v>
      </c>
      <c r="H207">
        <f t="shared" si="7"/>
        <v>10</v>
      </c>
    </row>
    <row r="208" spans="4:8" x14ac:dyDescent="0.3">
      <c r="D208" t="s">
        <v>198</v>
      </c>
      <c r="E208" t="s">
        <v>213</v>
      </c>
      <c r="F208">
        <v>10.4</v>
      </c>
      <c r="G208">
        <f t="shared" si="6"/>
        <v>2.1224489795918369</v>
      </c>
      <c r="H208">
        <f t="shared" si="7"/>
        <v>15</v>
      </c>
    </row>
    <row r="209" spans="4:8" x14ac:dyDescent="0.3">
      <c r="D209" t="s">
        <v>198</v>
      </c>
      <c r="E209" t="s">
        <v>214</v>
      </c>
      <c r="F209">
        <v>7.3</v>
      </c>
      <c r="G209">
        <f t="shared" si="6"/>
        <v>1.4897959183673468</v>
      </c>
      <c r="H209">
        <f t="shared" si="7"/>
        <v>40</v>
      </c>
    </row>
    <row r="210" spans="4:8" x14ac:dyDescent="0.3">
      <c r="D210" t="s">
        <v>198</v>
      </c>
      <c r="E210" t="s">
        <v>215</v>
      </c>
      <c r="F210">
        <v>8.1</v>
      </c>
      <c r="G210">
        <f t="shared" si="6"/>
        <v>1.6530612244897958</v>
      </c>
      <c r="H210">
        <f t="shared" si="7"/>
        <v>20</v>
      </c>
    </row>
    <row r="211" spans="4:8" x14ac:dyDescent="0.3">
      <c r="D211" t="s">
        <v>198</v>
      </c>
      <c r="E211" t="s">
        <v>216</v>
      </c>
      <c r="F211">
        <v>4.7</v>
      </c>
      <c r="G211">
        <f t="shared" si="6"/>
        <v>0.95918367346938771</v>
      </c>
      <c r="H211">
        <f t="shared" si="7"/>
        <v>80</v>
      </c>
    </row>
    <row r="212" spans="4:8" x14ac:dyDescent="0.3">
      <c r="D212" t="s">
        <v>198</v>
      </c>
      <c r="E212" t="s">
        <v>217</v>
      </c>
      <c r="F212">
        <v>16.8</v>
      </c>
      <c r="G212">
        <f t="shared" si="6"/>
        <v>3.4285714285714284</v>
      </c>
      <c r="H212">
        <f t="shared" si="7"/>
        <v>10</v>
      </c>
    </row>
    <row r="213" spans="4:8" x14ac:dyDescent="0.3">
      <c r="D213" t="s">
        <v>198</v>
      </c>
      <c r="E213" t="s">
        <v>218</v>
      </c>
      <c r="F213">
        <v>7.2</v>
      </c>
      <c r="G213">
        <f t="shared" si="6"/>
        <v>1.4693877551020407</v>
      </c>
      <c r="H213">
        <f t="shared" si="7"/>
        <v>40</v>
      </c>
    </row>
    <row r="214" spans="4:8" x14ac:dyDescent="0.3">
      <c r="D214" t="s">
        <v>198</v>
      </c>
      <c r="E214" t="s">
        <v>219</v>
      </c>
      <c r="F214">
        <v>2.8</v>
      </c>
      <c r="G214">
        <f t="shared" si="6"/>
        <v>0.5714285714285714</v>
      </c>
      <c r="H214">
        <f t="shared" si="7"/>
        <v>100</v>
      </c>
    </row>
    <row r="215" spans="4:8" x14ac:dyDescent="0.3">
      <c r="D215" t="s">
        <v>198</v>
      </c>
      <c r="E215" t="s">
        <v>220</v>
      </c>
      <c r="F215">
        <v>9.6999999999999993</v>
      </c>
      <c r="G215">
        <f t="shared" si="6"/>
        <v>1.9795918367346936</v>
      </c>
      <c r="H215">
        <f t="shared" si="7"/>
        <v>20</v>
      </c>
    </row>
    <row r="216" spans="4:8" x14ac:dyDescent="0.3">
      <c r="D216" t="s">
        <v>198</v>
      </c>
      <c r="E216" t="s">
        <v>221</v>
      </c>
      <c r="F216">
        <v>4</v>
      </c>
      <c r="G216">
        <f t="shared" si="6"/>
        <v>0.81632653061224481</v>
      </c>
      <c r="H216">
        <f t="shared" si="7"/>
        <v>80</v>
      </c>
    </row>
    <row r="217" spans="4:8" x14ac:dyDescent="0.3">
      <c r="D217" t="s">
        <v>198</v>
      </c>
      <c r="E217" t="s">
        <v>222</v>
      </c>
      <c r="F217">
        <v>6.9</v>
      </c>
      <c r="G217">
        <f t="shared" si="6"/>
        <v>1.4081632653061225</v>
      </c>
      <c r="H217">
        <f t="shared" si="7"/>
        <v>40</v>
      </c>
    </row>
    <row r="218" spans="4:8" x14ac:dyDescent="0.3">
      <c r="D218" t="s">
        <v>223</v>
      </c>
      <c r="E218" t="s">
        <v>224</v>
      </c>
      <c r="F218">
        <v>9.5</v>
      </c>
      <c r="G218">
        <f t="shared" si="6"/>
        <v>1.9387755102040816</v>
      </c>
      <c r="H218">
        <f t="shared" si="7"/>
        <v>20</v>
      </c>
    </row>
    <row r="219" spans="4:8" x14ac:dyDescent="0.3">
      <c r="D219" t="s">
        <v>223</v>
      </c>
      <c r="E219" t="s">
        <v>225</v>
      </c>
      <c r="F219">
        <v>7.3</v>
      </c>
      <c r="G219">
        <f t="shared" si="6"/>
        <v>1.4897959183673468</v>
      </c>
      <c r="H219">
        <f t="shared" si="7"/>
        <v>40</v>
      </c>
    </row>
    <row r="220" spans="4:8" x14ac:dyDescent="0.3">
      <c r="D220" t="s">
        <v>223</v>
      </c>
      <c r="E220" t="s">
        <v>226</v>
      </c>
      <c r="F220">
        <v>4.4000000000000004</v>
      </c>
      <c r="G220">
        <f t="shared" si="6"/>
        <v>0.89795918367346939</v>
      </c>
      <c r="H220">
        <f t="shared" si="7"/>
        <v>80</v>
      </c>
    </row>
    <row r="221" spans="4:8" x14ac:dyDescent="0.3">
      <c r="D221" t="s">
        <v>223</v>
      </c>
      <c r="E221" t="s">
        <v>227</v>
      </c>
      <c r="F221">
        <v>10.6</v>
      </c>
      <c r="G221">
        <f t="shared" si="6"/>
        <v>2.1632653061224487</v>
      </c>
      <c r="H221">
        <f t="shared" si="7"/>
        <v>15</v>
      </c>
    </row>
    <row r="222" spans="4:8" x14ac:dyDescent="0.3">
      <c r="D222" t="s">
        <v>223</v>
      </c>
      <c r="E222" t="s">
        <v>228</v>
      </c>
      <c r="F222">
        <v>8.6</v>
      </c>
      <c r="G222">
        <f t="shared" si="6"/>
        <v>1.7551020408163263</v>
      </c>
      <c r="H222">
        <f t="shared" si="7"/>
        <v>20</v>
      </c>
    </row>
    <row r="223" spans="4:8" x14ac:dyDescent="0.3">
      <c r="D223" t="s">
        <v>223</v>
      </c>
      <c r="E223" t="s">
        <v>229</v>
      </c>
      <c r="F223">
        <v>13.2</v>
      </c>
      <c r="G223">
        <f t="shared" si="6"/>
        <v>2.6938775510204076</v>
      </c>
      <c r="H223">
        <f t="shared" si="7"/>
        <v>10</v>
      </c>
    </row>
    <row r="224" spans="4:8" x14ac:dyDescent="0.3">
      <c r="D224" t="s">
        <v>223</v>
      </c>
      <c r="E224" t="s">
        <v>230</v>
      </c>
      <c r="F224">
        <v>4.8</v>
      </c>
      <c r="G224">
        <f t="shared" si="6"/>
        <v>0.97959183673469374</v>
      </c>
      <c r="H224">
        <f t="shared" si="7"/>
        <v>80</v>
      </c>
    </row>
    <row r="225" spans="4:8" x14ac:dyDescent="0.3">
      <c r="D225" t="s">
        <v>223</v>
      </c>
      <c r="E225" t="s">
        <v>231</v>
      </c>
      <c r="F225">
        <v>7.3</v>
      </c>
      <c r="G225">
        <f t="shared" si="6"/>
        <v>1.4897959183673468</v>
      </c>
      <c r="H225">
        <f t="shared" si="7"/>
        <v>40</v>
      </c>
    </row>
    <row r="226" spans="4:8" x14ac:dyDescent="0.3">
      <c r="D226" t="s">
        <v>223</v>
      </c>
      <c r="E226" t="s">
        <v>232</v>
      </c>
      <c r="F226">
        <v>9.6</v>
      </c>
      <c r="G226">
        <f t="shared" si="6"/>
        <v>1.9591836734693875</v>
      </c>
      <c r="H226">
        <f t="shared" si="7"/>
        <v>20</v>
      </c>
    </row>
    <row r="227" spans="4:8" x14ac:dyDescent="0.3">
      <c r="D227" t="s">
        <v>223</v>
      </c>
      <c r="E227" t="s">
        <v>233</v>
      </c>
      <c r="F227">
        <v>6.4</v>
      </c>
      <c r="G227">
        <f t="shared" si="6"/>
        <v>1.3061224489795917</v>
      </c>
      <c r="H227">
        <f t="shared" si="7"/>
        <v>40</v>
      </c>
    </row>
    <row r="228" spans="4:8" x14ac:dyDescent="0.3">
      <c r="D228" t="s">
        <v>223</v>
      </c>
      <c r="E228" t="s">
        <v>234</v>
      </c>
      <c r="F228">
        <v>10.9</v>
      </c>
      <c r="G228">
        <f t="shared" si="6"/>
        <v>2.2244897959183674</v>
      </c>
      <c r="H228">
        <f t="shared" si="7"/>
        <v>15</v>
      </c>
    </row>
    <row r="229" spans="4:8" x14ac:dyDescent="0.3">
      <c r="D229" t="s">
        <v>223</v>
      </c>
      <c r="E229" t="s">
        <v>235</v>
      </c>
      <c r="F229">
        <v>5</v>
      </c>
      <c r="G229">
        <f t="shared" si="6"/>
        <v>1.0204081632653061</v>
      </c>
      <c r="H229">
        <f t="shared" si="7"/>
        <v>60</v>
      </c>
    </row>
    <row r="230" spans="4:8" x14ac:dyDescent="0.3">
      <c r="D230" t="s">
        <v>223</v>
      </c>
      <c r="E230" t="s">
        <v>236</v>
      </c>
      <c r="F230">
        <v>6.8</v>
      </c>
      <c r="G230">
        <f t="shared" si="6"/>
        <v>1.3877551020408161</v>
      </c>
      <c r="H230">
        <f t="shared" si="7"/>
        <v>40</v>
      </c>
    </row>
    <row r="231" spans="4:8" x14ac:dyDescent="0.3">
      <c r="D231" t="s">
        <v>223</v>
      </c>
      <c r="E231" t="s">
        <v>237</v>
      </c>
      <c r="F231">
        <v>6.3</v>
      </c>
      <c r="G231">
        <f t="shared" si="6"/>
        <v>1.2857142857142856</v>
      </c>
      <c r="H231">
        <f t="shared" si="7"/>
        <v>60</v>
      </c>
    </row>
    <row r="232" spans="4:8" x14ac:dyDescent="0.3">
      <c r="D232" t="s">
        <v>223</v>
      </c>
      <c r="E232" t="s">
        <v>238</v>
      </c>
      <c r="F232">
        <v>5</v>
      </c>
      <c r="G232">
        <f t="shared" si="6"/>
        <v>1.0204081632653061</v>
      </c>
      <c r="H232">
        <f t="shared" si="7"/>
        <v>60</v>
      </c>
    </row>
    <row r="233" spans="4:8" x14ac:dyDescent="0.3">
      <c r="D233" t="s">
        <v>223</v>
      </c>
      <c r="E233" t="s">
        <v>239</v>
      </c>
      <c r="F233">
        <v>6.5</v>
      </c>
      <c r="G233">
        <f t="shared" si="6"/>
        <v>1.3265306122448979</v>
      </c>
      <c r="H233">
        <f t="shared" si="7"/>
        <v>40</v>
      </c>
    </row>
    <row r="234" spans="4:8" x14ac:dyDescent="0.3">
      <c r="D234" t="s">
        <v>223</v>
      </c>
      <c r="E234" t="s">
        <v>240</v>
      </c>
      <c r="F234">
        <v>5.7</v>
      </c>
      <c r="G234">
        <f t="shared" si="6"/>
        <v>1.1632653061224489</v>
      </c>
      <c r="H234">
        <f t="shared" si="7"/>
        <v>60</v>
      </c>
    </row>
    <row r="235" spans="4:8" x14ac:dyDescent="0.3">
      <c r="D235" t="s">
        <v>241</v>
      </c>
      <c r="E235" t="s">
        <v>242</v>
      </c>
      <c r="F235">
        <v>8.8000000000000007</v>
      </c>
      <c r="G235">
        <f t="shared" si="6"/>
        <v>1.7959183673469388</v>
      </c>
      <c r="H235">
        <f t="shared" si="7"/>
        <v>20</v>
      </c>
    </row>
    <row r="236" spans="4:8" x14ac:dyDescent="0.3">
      <c r="D236" t="s">
        <v>241</v>
      </c>
      <c r="E236" t="s">
        <v>243</v>
      </c>
      <c r="F236">
        <v>8.4</v>
      </c>
      <c r="G236">
        <f t="shared" si="6"/>
        <v>1.7142857142857142</v>
      </c>
      <c r="H236">
        <f t="shared" si="7"/>
        <v>20</v>
      </c>
    </row>
    <row r="237" spans="4:8" x14ac:dyDescent="0.3">
      <c r="D237" t="s">
        <v>241</v>
      </c>
      <c r="E237" t="s">
        <v>244</v>
      </c>
      <c r="F237">
        <v>9.5</v>
      </c>
      <c r="G237">
        <f t="shared" si="6"/>
        <v>1.9387755102040816</v>
      </c>
      <c r="H237">
        <f t="shared" si="7"/>
        <v>20</v>
      </c>
    </row>
    <row r="238" spans="4:8" x14ac:dyDescent="0.3">
      <c r="D238" t="s">
        <v>241</v>
      </c>
      <c r="E238" t="s">
        <v>245</v>
      </c>
      <c r="F238">
        <v>3.7</v>
      </c>
      <c r="G238">
        <f t="shared" si="6"/>
        <v>0.75510204081632648</v>
      </c>
      <c r="H238">
        <f t="shared" si="7"/>
        <v>80</v>
      </c>
    </row>
    <row r="239" spans="4:8" x14ac:dyDescent="0.3">
      <c r="D239" t="s">
        <v>241</v>
      </c>
      <c r="E239" t="s">
        <v>246</v>
      </c>
      <c r="F239">
        <v>2.2999999999999998</v>
      </c>
      <c r="G239">
        <f t="shared" si="6"/>
        <v>0.46938775510204073</v>
      </c>
      <c r="H239">
        <f t="shared" si="7"/>
        <v>100</v>
      </c>
    </row>
    <row r="240" spans="4:8" x14ac:dyDescent="0.3">
      <c r="D240" t="s">
        <v>241</v>
      </c>
      <c r="E240" t="s">
        <v>247</v>
      </c>
      <c r="F240">
        <v>6.9</v>
      </c>
      <c r="G240">
        <f t="shared" si="6"/>
        <v>1.4081632653061225</v>
      </c>
      <c r="H240">
        <f t="shared" si="7"/>
        <v>40</v>
      </c>
    </row>
    <row r="241" spans="4:8" x14ac:dyDescent="0.3">
      <c r="D241" t="s">
        <v>241</v>
      </c>
      <c r="E241" t="s">
        <v>248</v>
      </c>
      <c r="F241">
        <v>7.3</v>
      </c>
      <c r="G241">
        <f t="shared" si="6"/>
        <v>1.4897959183673468</v>
      </c>
      <c r="H241">
        <f t="shared" si="7"/>
        <v>40</v>
      </c>
    </row>
    <row r="242" spans="4:8" x14ac:dyDescent="0.3">
      <c r="D242" t="s">
        <v>241</v>
      </c>
      <c r="E242" t="s">
        <v>249</v>
      </c>
      <c r="F242">
        <v>10.199999999999999</v>
      </c>
      <c r="G242">
        <f t="shared" si="6"/>
        <v>2.0816326530612241</v>
      </c>
      <c r="H242">
        <f t="shared" si="7"/>
        <v>15</v>
      </c>
    </row>
    <row r="243" spans="4:8" x14ac:dyDescent="0.3">
      <c r="D243" t="s">
        <v>241</v>
      </c>
      <c r="E243" t="s">
        <v>250</v>
      </c>
      <c r="F243">
        <v>8.1</v>
      </c>
      <c r="G243">
        <f t="shared" si="6"/>
        <v>1.6530612244897958</v>
      </c>
      <c r="H243">
        <f t="shared" si="7"/>
        <v>20</v>
      </c>
    </row>
    <row r="244" spans="4:8" x14ac:dyDescent="0.3">
      <c r="D244" t="s">
        <v>241</v>
      </c>
      <c r="E244" t="s">
        <v>158</v>
      </c>
      <c r="F244">
        <v>9.1</v>
      </c>
      <c r="G244">
        <f t="shared" si="6"/>
        <v>1.857142857142857</v>
      </c>
      <c r="H244">
        <f t="shared" si="7"/>
        <v>20</v>
      </c>
    </row>
    <row r="245" spans="4:8" x14ac:dyDescent="0.3">
      <c r="D245" t="s">
        <v>241</v>
      </c>
      <c r="E245" t="s">
        <v>251</v>
      </c>
      <c r="F245">
        <v>4.7</v>
      </c>
      <c r="G245">
        <f t="shared" si="6"/>
        <v>0.95918367346938771</v>
      </c>
      <c r="H245">
        <f t="shared" si="7"/>
        <v>80</v>
      </c>
    </row>
    <row r="246" spans="4:8" x14ac:dyDescent="0.3">
      <c r="D246" t="s">
        <v>241</v>
      </c>
      <c r="E246" t="s">
        <v>252</v>
      </c>
      <c r="F246">
        <v>7.4</v>
      </c>
      <c r="G246">
        <f t="shared" si="6"/>
        <v>1.510204081632653</v>
      </c>
      <c r="H246">
        <f t="shared" si="7"/>
        <v>40</v>
      </c>
    </row>
    <row r="247" spans="4:8" x14ac:dyDescent="0.3">
      <c r="D247" t="s">
        <v>241</v>
      </c>
      <c r="E247" t="s">
        <v>253</v>
      </c>
      <c r="F247">
        <v>5.4</v>
      </c>
      <c r="G247">
        <f t="shared" si="6"/>
        <v>1.1020408163265305</v>
      </c>
      <c r="H247">
        <f t="shared" si="7"/>
        <v>60</v>
      </c>
    </row>
    <row r="248" spans="4:8" x14ac:dyDescent="0.3">
      <c r="D248" t="s">
        <v>241</v>
      </c>
      <c r="E248" t="s">
        <v>254</v>
      </c>
      <c r="F248">
        <v>5.2</v>
      </c>
      <c r="G248">
        <f t="shared" si="6"/>
        <v>1.0612244897959184</v>
      </c>
      <c r="H248">
        <f t="shared" si="7"/>
        <v>60</v>
      </c>
    </row>
    <row r="249" spans="4:8" x14ac:dyDescent="0.3">
      <c r="D249" t="s">
        <v>241</v>
      </c>
      <c r="E249" t="s">
        <v>255</v>
      </c>
      <c r="F249">
        <v>5.6</v>
      </c>
      <c r="G249">
        <f t="shared" si="6"/>
        <v>1.1428571428571428</v>
      </c>
      <c r="H249">
        <f t="shared" si="7"/>
        <v>60</v>
      </c>
    </row>
    <row r="250" spans="4:8" x14ac:dyDescent="0.3">
      <c r="D250" t="s">
        <v>241</v>
      </c>
      <c r="E250" t="s">
        <v>256</v>
      </c>
      <c r="F250">
        <v>5.3</v>
      </c>
      <c r="G250">
        <f t="shared" si="6"/>
        <v>1.0816326530612244</v>
      </c>
      <c r="H250">
        <f t="shared" si="7"/>
        <v>60</v>
      </c>
    </row>
    <row r="251" spans="4:8" x14ac:dyDescent="0.3">
      <c r="D251" t="s">
        <v>241</v>
      </c>
      <c r="E251" t="s">
        <v>257</v>
      </c>
      <c r="F251">
        <v>2.5</v>
      </c>
      <c r="G251">
        <f t="shared" si="6"/>
        <v>0.51020408163265307</v>
      </c>
      <c r="H251">
        <f t="shared" si="7"/>
        <v>100</v>
      </c>
    </row>
    <row r="252" spans="4:8" x14ac:dyDescent="0.3">
      <c r="D252" t="s">
        <v>241</v>
      </c>
      <c r="E252" t="s">
        <v>258</v>
      </c>
      <c r="F252">
        <v>2.2000000000000002</v>
      </c>
      <c r="G252">
        <f t="shared" si="6"/>
        <v>0.44897959183673469</v>
      </c>
      <c r="H252">
        <f t="shared" si="7"/>
        <v>100</v>
      </c>
    </row>
    <row r="253" spans="4:8" x14ac:dyDescent="0.3">
      <c r="D253" t="s">
        <v>241</v>
      </c>
      <c r="E253" t="s">
        <v>259</v>
      </c>
      <c r="F253">
        <v>4.0999999999999996</v>
      </c>
      <c r="G253">
        <f t="shared" si="6"/>
        <v>0.83673469387755084</v>
      </c>
      <c r="H253">
        <f t="shared" si="7"/>
        <v>80</v>
      </c>
    </row>
    <row r="254" spans="4:8" x14ac:dyDescent="0.3">
      <c r="D254" t="s">
        <v>241</v>
      </c>
      <c r="E254" t="s">
        <v>260</v>
      </c>
      <c r="F254">
        <v>1.9</v>
      </c>
      <c r="G254">
        <f t="shared" si="6"/>
        <v>0.38775510204081626</v>
      </c>
      <c r="H254">
        <f t="shared" si="7"/>
        <v>100</v>
      </c>
    </row>
    <row r="255" spans="4:8" x14ac:dyDescent="0.3">
      <c r="D255" t="s">
        <v>261</v>
      </c>
      <c r="E255" t="s">
        <v>262</v>
      </c>
      <c r="F255">
        <v>5.8</v>
      </c>
      <c r="G255">
        <f t="shared" si="6"/>
        <v>1.1836734693877551</v>
      </c>
      <c r="H255">
        <f t="shared" si="7"/>
        <v>60</v>
      </c>
    </row>
    <row r="256" spans="4:8" x14ac:dyDescent="0.3">
      <c r="D256" t="s">
        <v>261</v>
      </c>
      <c r="E256" t="s">
        <v>226</v>
      </c>
      <c r="F256">
        <v>2.9</v>
      </c>
      <c r="G256">
        <f t="shared" si="6"/>
        <v>0.59183673469387754</v>
      </c>
      <c r="H256">
        <f t="shared" si="7"/>
        <v>100</v>
      </c>
    </row>
    <row r="257" spans="4:8" x14ac:dyDescent="0.3">
      <c r="D257" t="s">
        <v>261</v>
      </c>
      <c r="E257" t="s">
        <v>263</v>
      </c>
      <c r="F257">
        <v>1.5</v>
      </c>
      <c r="G257">
        <f t="shared" si="6"/>
        <v>0.30612244897959179</v>
      </c>
      <c r="H257">
        <f t="shared" si="7"/>
        <v>100</v>
      </c>
    </row>
    <row r="258" spans="4:8" x14ac:dyDescent="0.3">
      <c r="D258" t="s">
        <v>261</v>
      </c>
      <c r="E258" t="s">
        <v>264</v>
      </c>
      <c r="F258">
        <v>5.0999999999999996</v>
      </c>
      <c r="G258">
        <f t="shared" si="6"/>
        <v>1.0408163265306121</v>
      </c>
      <c r="H258">
        <f t="shared" si="7"/>
        <v>60</v>
      </c>
    </row>
    <row r="259" spans="4:8" x14ac:dyDescent="0.3">
      <c r="D259" t="s">
        <v>261</v>
      </c>
      <c r="E259" t="s">
        <v>265</v>
      </c>
      <c r="F259">
        <v>6.3</v>
      </c>
      <c r="G259">
        <f t="shared" ref="G259:G322" si="8">F259/4.9</f>
        <v>1.2857142857142856</v>
      </c>
      <c r="H259">
        <f t="shared" ref="H259:H322" si="9">IF(G259&lt;=0.6,100,IF(G259&lt;=1,80,IF(G259&lt;=1.3,60,IF(G259&lt;=1.6,40,IF(G259&lt;=2,20,IF(G259&lt;=2.5,15,10))))))</f>
        <v>60</v>
      </c>
    </row>
    <row r="260" spans="4:8" x14ac:dyDescent="0.3">
      <c r="D260" t="s">
        <v>261</v>
      </c>
      <c r="E260" t="s">
        <v>266</v>
      </c>
      <c r="F260">
        <v>3.4</v>
      </c>
      <c r="G260">
        <f t="shared" si="8"/>
        <v>0.69387755102040805</v>
      </c>
      <c r="H260">
        <f t="shared" si="9"/>
        <v>80</v>
      </c>
    </row>
    <row r="261" spans="4:8" x14ac:dyDescent="0.3">
      <c r="D261" t="s">
        <v>261</v>
      </c>
      <c r="E261" t="s">
        <v>267</v>
      </c>
      <c r="F261">
        <v>7.3</v>
      </c>
      <c r="G261">
        <f t="shared" si="8"/>
        <v>1.4897959183673468</v>
      </c>
      <c r="H261">
        <f t="shared" si="9"/>
        <v>40</v>
      </c>
    </row>
    <row r="262" spans="4:8" x14ac:dyDescent="0.3">
      <c r="D262" t="s">
        <v>261</v>
      </c>
      <c r="E262" t="s">
        <v>268</v>
      </c>
      <c r="F262">
        <v>4.8</v>
      </c>
      <c r="G262">
        <f t="shared" si="8"/>
        <v>0.97959183673469374</v>
      </c>
      <c r="H262">
        <f t="shared" si="9"/>
        <v>80</v>
      </c>
    </row>
    <row r="263" spans="4:8" x14ac:dyDescent="0.3">
      <c r="D263" t="s">
        <v>261</v>
      </c>
      <c r="E263" t="s">
        <v>269</v>
      </c>
      <c r="F263">
        <v>2.7</v>
      </c>
      <c r="G263">
        <f t="shared" si="8"/>
        <v>0.55102040816326525</v>
      </c>
      <c r="H263">
        <f t="shared" si="9"/>
        <v>100</v>
      </c>
    </row>
    <row r="264" spans="4:8" x14ac:dyDescent="0.3">
      <c r="D264" t="s">
        <v>261</v>
      </c>
      <c r="E264" t="s">
        <v>270</v>
      </c>
      <c r="F264">
        <v>5.7</v>
      </c>
      <c r="G264">
        <f t="shared" si="8"/>
        <v>1.1632653061224489</v>
      </c>
      <c r="H264">
        <f t="shared" si="9"/>
        <v>60</v>
      </c>
    </row>
    <row r="265" spans="4:8" x14ac:dyDescent="0.3">
      <c r="D265" t="s">
        <v>261</v>
      </c>
      <c r="E265" t="s">
        <v>271</v>
      </c>
      <c r="F265">
        <v>3</v>
      </c>
      <c r="G265">
        <f t="shared" si="8"/>
        <v>0.61224489795918358</v>
      </c>
      <c r="H265">
        <f t="shared" si="9"/>
        <v>80</v>
      </c>
    </row>
    <row r="266" spans="4:8" x14ac:dyDescent="0.3">
      <c r="D266" t="s">
        <v>261</v>
      </c>
      <c r="E266" t="s">
        <v>272</v>
      </c>
      <c r="F266">
        <v>3.2</v>
      </c>
      <c r="G266">
        <f t="shared" si="8"/>
        <v>0.65306122448979587</v>
      </c>
      <c r="H266">
        <f t="shared" si="9"/>
        <v>80</v>
      </c>
    </row>
    <row r="267" spans="4:8" x14ac:dyDescent="0.3">
      <c r="D267" t="s">
        <v>261</v>
      </c>
      <c r="E267" t="s">
        <v>273</v>
      </c>
      <c r="F267">
        <v>4.7</v>
      </c>
      <c r="G267">
        <f t="shared" si="8"/>
        <v>0.95918367346938771</v>
      </c>
      <c r="H267">
        <f t="shared" si="9"/>
        <v>80</v>
      </c>
    </row>
    <row r="268" spans="4:8" x14ac:dyDescent="0.3">
      <c r="D268" t="s">
        <v>261</v>
      </c>
      <c r="E268" t="s">
        <v>274</v>
      </c>
      <c r="F268">
        <v>4.3</v>
      </c>
      <c r="G268">
        <f t="shared" si="8"/>
        <v>0.87755102040816313</v>
      </c>
      <c r="H268">
        <f t="shared" si="9"/>
        <v>80</v>
      </c>
    </row>
    <row r="269" spans="4:8" x14ac:dyDescent="0.3">
      <c r="D269" t="s">
        <v>261</v>
      </c>
      <c r="E269" t="s">
        <v>275</v>
      </c>
      <c r="F269">
        <v>4.4000000000000004</v>
      </c>
      <c r="G269">
        <f t="shared" si="8"/>
        <v>0.89795918367346939</v>
      </c>
      <c r="H269">
        <f t="shared" si="9"/>
        <v>80</v>
      </c>
    </row>
    <row r="270" spans="4:8" x14ac:dyDescent="0.3">
      <c r="D270" t="s">
        <v>261</v>
      </c>
      <c r="E270" t="s">
        <v>276</v>
      </c>
      <c r="F270">
        <v>5.6</v>
      </c>
      <c r="G270">
        <f t="shared" si="8"/>
        <v>1.1428571428571428</v>
      </c>
      <c r="H270">
        <f t="shared" si="9"/>
        <v>60</v>
      </c>
    </row>
    <row r="271" spans="4:8" x14ac:dyDescent="0.3">
      <c r="D271" t="s">
        <v>261</v>
      </c>
      <c r="E271" t="s">
        <v>277</v>
      </c>
      <c r="F271">
        <v>5.0999999999999996</v>
      </c>
      <c r="G271">
        <f t="shared" si="8"/>
        <v>1.0408163265306121</v>
      </c>
      <c r="H271">
        <f t="shared" si="9"/>
        <v>60</v>
      </c>
    </row>
    <row r="272" spans="4:8" x14ac:dyDescent="0.3">
      <c r="D272" t="s">
        <v>261</v>
      </c>
      <c r="E272" t="s">
        <v>278</v>
      </c>
      <c r="F272">
        <v>1.9</v>
      </c>
      <c r="G272">
        <f t="shared" si="8"/>
        <v>0.38775510204081626</v>
      </c>
      <c r="H272">
        <f t="shared" si="9"/>
        <v>100</v>
      </c>
    </row>
    <row r="273" spans="4:8" x14ac:dyDescent="0.3">
      <c r="D273" t="s">
        <v>261</v>
      </c>
      <c r="E273" t="s">
        <v>279</v>
      </c>
      <c r="F273">
        <v>8.1999999999999993</v>
      </c>
      <c r="G273">
        <f t="shared" si="8"/>
        <v>1.6734693877551017</v>
      </c>
      <c r="H273">
        <f t="shared" si="9"/>
        <v>20</v>
      </c>
    </row>
    <row r="274" spans="4:8" x14ac:dyDescent="0.3">
      <c r="D274" t="s">
        <v>261</v>
      </c>
      <c r="E274" t="s">
        <v>280</v>
      </c>
      <c r="F274">
        <v>3.4</v>
      </c>
      <c r="G274">
        <f t="shared" si="8"/>
        <v>0.69387755102040805</v>
      </c>
      <c r="H274">
        <f t="shared" si="9"/>
        <v>80</v>
      </c>
    </row>
    <row r="275" spans="4:8" x14ac:dyDescent="0.3">
      <c r="D275" t="s">
        <v>261</v>
      </c>
      <c r="E275" t="s">
        <v>281</v>
      </c>
      <c r="F275">
        <v>3.3</v>
      </c>
      <c r="G275">
        <f t="shared" si="8"/>
        <v>0.6734693877551019</v>
      </c>
      <c r="H275">
        <f t="shared" si="9"/>
        <v>80</v>
      </c>
    </row>
    <row r="276" spans="4:8" x14ac:dyDescent="0.3">
      <c r="D276" t="s">
        <v>261</v>
      </c>
      <c r="E276" t="s">
        <v>282</v>
      </c>
      <c r="F276">
        <v>4.5</v>
      </c>
      <c r="G276">
        <f t="shared" si="8"/>
        <v>0.91836734693877542</v>
      </c>
      <c r="H276">
        <f t="shared" si="9"/>
        <v>80</v>
      </c>
    </row>
    <row r="277" spans="4:8" x14ac:dyDescent="0.3">
      <c r="D277" t="s">
        <v>261</v>
      </c>
      <c r="E277" t="s">
        <v>283</v>
      </c>
      <c r="F277">
        <v>2.2000000000000002</v>
      </c>
      <c r="G277">
        <f t="shared" si="8"/>
        <v>0.44897959183673469</v>
      </c>
      <c r="H277">
        <f t="shared" si="9"/>
        <v>100</v>
      </c>
    </row>
    <row r="278" spans="4:8" x14ac:dyDescent="0.3">
      <c r="D278" t="s">
        <v>261</v>
      </c>
      <c r="E278" t="s">
        <v>284</v>
      </c>
      <c r="F278">
        <v>3.4</v>
      </c>
      <c r="G278">
        <f t="shared" si="8"/>
        <v>0.69387755102040805</v>
      </c>
      <c r="H278">
        <f t="shared" si="9"/>
        <v>80</v>
      </c>
    </row>
    <row r="279" spans="4:8" x14ac:dyDescent="0.3">
      <c r="D279" t="s">
        <v>261</v>
      </c>
      <c r="E279" t="s">
        <v>285</v>
      </c>
      <c r="F279">
        <v>3.8</v>
      </c>
      <c r="G279">
        <f t="shared" si="8"/>
        <v>0.77551020408163251</v>
      </c>
      <c r="H279">
        <f t="shared" si="9"/>
        <v>80</v>
      </c>
    </row>
    <row r="280" spans="4:8" x14ac:dyDescent="0.3">
      <c r="D280" t="s">
        <v>261</v>
      </c>
      <c r="E280" t="s">
        <v>286</v>
      </c>
      <c r="F280">
        <v>1</v>
      </c>
      <c r="G280">
        <f t="shared" si="8"/>
        <v>0.2040816326530612</v>
      </c>
      <c r="H280">
        <f t="shared" si="9"/>
        <v>100</v>
      </c>
    </row>
    <row r="281" spans="4:8" x14ac:dyDescent="0.3">
      <c r="D281" t="s">
        <v>261</v>
      </c>
      <c r="E281" t="s">
        <v>287</v>
      </c>
      <c r="F281">
        <v>4.3</v>
      </c>
      <c r="G281">
        <f t="shared" si="8"/>
        <v>0.87755102040816313</v>
      </c>
      <c r="H281">
        <f t="shared" si="9"/>
        <v>80</v>
      </c>
    </row>
    <row r="282" spans="4:8" x14ac:dyDescent="0.3">
      <c r="D282" t="s">
        <v>261</v>
      </c>
      <c r="E282" t="s">
        <v>288</v>
      </c>
      <c r="F282">
        <v>7.4</v>
      </c>
      <c r="G282">
        <f t="shared" si="8"/>
        <v>1.510204081632653</v>
      </c>
      <c r="H282">
        <f t="shared" si="9"/>
        <v>40</v>
      </c>
    </row>
    <row r="283" spans="4:8" x14ac:dyDescent="0.3">
      <c r="D283" t="s">
        <v>261</v>
      </c>
      <c r="E283" t="s">
        <v>289</v>
      </c>
      <c r="F283">
        <v>2.6</v>
      </c>
      <c r="G283">
        <f t="shared" si="8"/>
        <v>0.53061224489795922</v>
      </c>
      <c r="H283">
        <f t="shared" si="9"/>
        <v>100</v>
      </c>
    </row>
    <row r="284" spans="4:8" x14ac:dyDescent="0.3">
      <c r="D284" t="s">
        <v>261</v>
      </c>
      <c r="E284" t="s">
        <v>290</v>
      </c>
      <c r="F284">
        <v>2.6</v>
      </c>
      <c r="G284">
        <f t="shared" si="8"/>
        <v>0.53061224489795922</v>
      </c>
      <c r="H284">
        <f t="shared" si="9"/>
        <v>100</v>
      </c>
    </row>
    <row r="285" spans="4:8" x14ac:dyDescent="0.3">
      <c r="D285" t="s">
        <v>261</v>
      </c>
      <c r="E285" t="s">
        <v>291</v>
      </c>
      <c r="F285">
        <v>3.8</v>
      </c>
      <c r="G285">
        <f t="shared" si="8"/>
        <v>0.77551020408163251</v>
      </c>
      <c r="H285">
        <f t="shared" si="9"/>
        <v>80</v>
      </c>
    </row>
    <row r="286" spans="4:8" x14ac:dyDescent="0.3">
      <c r="D286" t="s">
        <v>261</v>
      </c>
      <c r="E286" t="s">
        <v>292</v>
      </c>
      <c r="F286">
        <v>5.9</v>
      </c>
      <c r="G286">
        <f t="shared" si="8"/>
        <v>1.2040816326530612</v>
      </c>
      <c r="H286">
        <f t="shared" si="9"/>
        <v>60</v>
      </c>
    </row>
    <row r="287" spans="4:8" x14ac:dyDescent="0.3">
      <c r="D287" t="s">
        <v>261</v>
      </c>
      <c r="E287" t="s">
        <v>293</v>
      </c>
      <c r="F287">
        <v>4.3</v>
      </c>
      <c r="G287">
        <f t="shared" si="8"/>
        <v>0.87755102040816313</v>
      </c>
      <c r="H287">
        <f t="shared" si="9"/>
        <v>80</v>
      </c>
    </row>
    <row r="288" spans="4:8" x14ac:dyDescent="0.3">
      <c r="D288" t="s">
        <v>261</v>
      </c>
      <c r="E288" t="s">
        <v>294</v>
      </c>
      <c r="F288">
        <v>1.5</v>
      </c>
      <c r="G288">
        <f t="shared" si="8"/>
        <v>0.30612244897959179</v>
      </c>
      <c r="H288">
        <f t="shared" si="9"/>
        <v>100</v>
      </c>
    </row>
    <row r="289" spans="4:8" x14ac:dyDescent="0.3">
      <c r="D289" t="s">
        <v>261</v>
      </c>
      <c r="E289" t="s">
        <v>295</v>
      </c>
      <c r="F289">
        <v>4.2</v>
      </c>
      <c r="G289">
        <f t="shared" si="8"/>
        <v>0.8571428571428571</v>
      </c>
      <c r="H289">
        <f t="shared" si="9"/>
        <v>80</v>
      </c>
    </row>
    <row r="290" spans="4:8" x14ac:dyDescent="0.3">
      <c r="D290" t="s">
        <v>261</v>
      </c>
      <c r="E290" t="s">
        <v>296</v>
      </c>
      <c r="F290">
        <v>3.3</v>
      </c>
      <c r="G290">
        <f t="shared" si="8"/>
        <v>0.6734693877551019</v>
      </c>
      <c r="H290">
        <f t="shared" si="9"/>
        <v>80</v>
      </c>
    </row>
    <row r="291" spans="4:8" x14ac:dyDescent="0.3">
      <c r="D291" t="s">
        <v>297</v>
      </c>
      <c r="E291" t="s">
        <v>298</v>
      </c>
      <c r="F291">
        <v>3.6</v>
      </c>
      <c r="G291">
        <f t="shared" si="8"/>
        <v>0.73469387755102034</v>
      </c>
      <c r="H291">
        <f t="shared" si="9"/>
        <v>80</v>
      </c>
    </row>
    <row r="292" spans="4:8" x14ac:dyDescent="0.3">
      <c r="D292" t="s">
        <v>297</v>
      </c>
      <c r="E292" t="s">
        <v>299</v>
      </c>
      <c r="F292">
        <v>5.9</v>
      </c>
      <c r="G292">
        <f t="shared" si="8"/>
        <v>1.2040816326530612</v>
      </c>
      <c r="H292">
        <f t="shared" si="9"/>
        <v>60</v>
      </c>
    </row>
    <row r="293" spans="4:8" x14ac:dyDescent="0.3">
      <c r="D293" t="s">
        <v>297</v>
      </c>
      <c r="E293" t="s">
        <v>300</v>
      </c>
      <c r="F293">
        <v>9.6</v>
      </c>
      <c r="G293">
        <f t="shared" si="8"/>
        <v>1.9591836734693875</v>
      </c>
      <c r="H293">
        <f t="shared" si="9"/>
        <v>20</v>
      </c>
    </row>
    <row r="294" spans="4:8" x14ac:dyDescent="0.3">
      <c r="D294" t="s">
        <v>297</v>
      </c>
      <c r="E294" t="s">
        <v>301</v>
      </c>
      <c r="F294">
        <v>6.5</v>
      </c>
      <c r="G294">
        <f t="shared" si="8"/>
        <v>1.3265306122448979</v>
      </c>
      <c r="H294">
        <f t="shared" si="9"/>
        <v>40</v>
      </c>
    </row>
    <row r="295" spans="4:8" x14ac:dyDescent="0.3">
      <c r="D295" t="s">
        <v>297</v>
      </c>
      <c r="E295" t="s">
        <v>302</v>
      </c>
      <c r="F295">
        <v>9.6999999999999993</v>
      </c>
      <c r="G295">
        <f t="shared" si="8"/>
        <v>1.9795918367346936</v>
      </c>
      <c r="H295">
        <f t="shared" si="9"/>
        <v>20</v>
      </c>
    </row>
    <row r="296" spans="4:8" x14ac:dyDescent="0.3">
      <c r="D296" t="s">
        <v>297</v>
      </c>
      <c r="E296" t="s">
        <v>303</v>
      </c>
      <c r="F296">
        <v>13.7</v>
      </c>
      <c r="G296">
        <f t="shared" si="8"/>
        <v>2.7959183673469385</v>
      </c>
      <c r="H296">
        <f t="shared" si="9"/>
        <v>10</v>
      </c>
    </row>
    <row r="297" spans="4:8" x14ac:dyDescent="0.3">
      <c r="D297" t="s">
        <v>297</v>
      </c>
      <c r="E297" t="s">
        <v>304</v>
      </c>
      <c r="F297">
        <v>9.9</v>
      </c>
      <c r="G297">
        <f t="shared" si="8"/>
        <v>2.0204081632653059</v>
      </c>
      <c r="H297">
        <f t="shared" si="9"/>
        <v>15</v>
      </c>
    </row>
    <row r="298" spans="4:8" x14ac:dyDescent="0.3">
      <c r="D298" t="s">
        <v>297</v>
      </c>
      <c r="E298" t="s">
        <v>305</v>
      </c>
      <c r="F298">
        <v>6.9</v>
      </c>
      <c r="G298">
        <f t="shared" si="8"/>
        <v>1.4081632653061225</v>
      </c>
      <c r="H298">
        <f t="shared" si="9"/>
        <v>40</v>
      </c>
    </row>
    <row r="299" spans="4:8" x14ac:dyDescent="0.3">
      <c r="D299" t="s">
        <v>297</v>
      </c>
      <c r="E299" t="s">
        <v>306</v>
      </c>
      <c r="F299">
        <v>7.6</v>
      </c>
      <c r="G299">
        <f t="shared" si="8"/>
        <v>1.551020408163265</v>
      </c>
      <c r="H299">
        <f t="shared" si="9"/>
        <v>40</v>
      </c>
    </row>
    <row r="300" spans="4:8" x14ac:dyDescent="0.3">
      <c r="D300" t="s">
        <v>297</v>
      </c>
      <c r="E300" t="s">
        <v>307</v>
      </c>
      <c r="F300">
        <v>14</v>
      </c>
      <c r="G300">
        <f t="shared" si="8"/>
        <v>2.8571428571428568</v>
      </c>
      <c r="H300">
        <f t="shared" si="9"/>
        <v>10</v>
      </c>
    </row>
    <row r="301" spans="4:8" x14ac:dyDescent="0.3">
      <c r="D301" t="s">
        <v>297</v>
      </c>
      <c r="E301" t="s">
        <v>308</v>
      </c>
      <c r="F301">
        <v>9.5</v>
      </c>
      <c r="G301">
        <f t="shared" si="8"/>
        <v>1.9387755102040816</v>
      </c>
      <c r="H301">
        <f t="shared" si="9"/>
        <v>20</v>
      </c>
    </row>
    <row r="302" spans="4:8" x14ac:dyDescent="0.3">
      <c r="D302" t="s">
        <v>297</v>
      </c>
      <c r="E302" t="s">
        <v>309</v>
      </c>
      <c r="F302">
        <v>5.9</v>
      </c>
      <c r="G302">
        <f t="shared" si="8"/>
        <v>1.2040816326530612</v>
      </c>
      <c r="H302">
        <f t="shared" si="9"/>
        <v>60</v>
      </c>
    </row>
    <row r="303" spans="4:8" x14ac:dyDescent="0.3">
      <c r="D303" t="s">
        <v>297</v>
      </c>
      <c r="E303" t="s">
        <v>310</v>
      </c>
      <c r="F303">
        <v>6.1</v>
      </c>
      <c r="G303">
        <f t="shared" si="8"/>
        <v>1.2448979591836733</v>
      </c>
      <c r="H303">
        <f t="shared" si="9"/>
        <v>60</v>
      </c>
    </row>
    <row r="304" spans="4:8" x14ac:dyDescent="0.3">
      <c r="D304" t="s">
        <v>297</v>
      </c>
      <c r="E304" t="s">
        <v>311</v>
      </c>
      <c r="F304">
        <v>4.4000000000000004</v>
      </c>
      <c r="G304">
        <f t="shared" si="8"/>
        <v>0.89795918367346939</v>
      </c>
      <c r="H304">
        <f t="shared" si="9"/>
        <v>80</v>
      </c>
    </row>
    <row r="305" spans="4:8" x14ac:dyDescent="0.3">
      <c r="D305" t="s">
        <v>312</v>
      </c>
      <c r="E305" t="s">
        <v>313</v>
      </c>
      <c r="F305">
        <v>15.7</v>
      </c>
      <c r="G305">
        <f t="shared" si="8"/>
        <v>3.204081632653061</v>
      </c>
      <c r="H305">
        <f t="shared" si="9"/>
        <v>10</v>
      </c>
    </row>
    <row r="306" spans="4:8" x14ac:dyDescent="0.3">
      <c r="D306" t="s">
        <v>312</v>
      </c>
      <c r="E306" t="s">
        <v>314</v>
      </c>
      <c r="F306">
        <v>14</v>
      </c>
      <c r="G306">
        <f t="shared" si="8"/>
        <v>2.8571428571428568</v>
      </c>
      <c r="H306">
        <f t="shared" si="9"/>
        <v>10</v>
      </c>
    </row>
    <row r="307" spans="4:8" x14ac:dyDescent="0.3">
      <c r="D307" t="s">
        <v>312</v>
      </c>
      <c r="E307" t="s">
        <v>315</v>
      </c>
      <c r="F307">
        <v>12.1</v>
      </c>
      <c r="G307">
        <f t="shared" si="8"/>
        <v>2.4693877551020407</v>
      </c>
      <c r="H307">
        <f t="shared" si="9"/>
        <v>15</v>
      </c>
    </row>
    <row r="308" spans="4:8" x14ac:dyDescent="0.3">
      <c r="D308" t="s">
        <v>312</v>
      </c>
      <c r="E308" t="s">
        <v>316</v>
      </c>
      <c r="F308">
        <v>11.7</v>
      </c>
      <c r="G308">
        <f t="shared" si="8"/>
        <v>2.3877551020408161</v>
      </c>
      <c r="H308">
        <f t="shared" si="9"/>
        <v>15</v>
      </c>
    </row>
    <row r="309" spans="4:8" x14ac:dyDescent="0.3">
      <c r="D309" t="s">
        <v>312</v>
      </c>
      <c r="E309" t="s">
        <v>317</v>
      </c>
      <c r="F309">
        <v>10.1</v>
      </c>
      <c r="G309">
        <f t="shared" si="8"/>
        <v>2.0612244897959182</v>
      </c>
      <c r="H309">
        <f t="shared" si="9"/>
        <v>15</v>
      </c>
    </row>
    <row r="310" spans="4:8" x14ac:dyDescent="0.3">
      <c r="D310" t="s">
        <v>312</v>
      </c>
      <c r="E310" t="s">
        <v>318</v>
      </c>
      <c r="F310">
        <v>7.8</v>
      </c>
      <c r="G310">
        <f t="shared" si="8"/>
        <v>1.5918367346938773</v>
      </c>
      <c r="H310">
        <f t="shared" si="9"/>
        <v>40</v>
      </c>
    </row>
    <row r="311" spans="4:8" x14ac:dyDescent="0.3">
      <c r="D311" t="s">
        <v>312</v>
      </c>
      <c r="E311" t="s">
        <v>319</v>
      </c>
      <c r="F311">
        <v>6.7</v>
      </c>
      <c r="G311">
        <f t="shared" si="8"/>
        <v>1.3673469387755102</v>
      </c>
      <c r="H311">
        <f t="shared" si="9"/>
        <v>40</v>
      </c>
    </row>
    <row r="312" spans="4:8" x14ac:dyDescent="0.3">
      <c r="D312" t="s">
        <v>312</v>
      </c>
      <c r="E312" t="s">
        <v>320</v>
      </c>
      <c r="F312">
        <v>4</v>
      </c>
      <c r="G312">
        <f t="shared" si="8"/>
        <v>0.81632653061224481</v>
      </c>
      <c r="H312">
        <f t="shared" si="9"/>
        <v>80</v>
      </c>
    </row>
    <row r="313" spans="4:8" x14ac:dyDescent="0.3">
      <c r="D313" t="s">
        <v>312</v>
      </c>
      <c r="E313" t="s">
        <v>321</v>
      </c>
      <c r="F313">
        <v>14.7</v>
      </c>
      <c r="G313">
        <f t="shared" si="8"/>
        <v>2.9999999999999996</v>
      </c>
      <c r="H313">
        <f t="shared" si="9"/>
        <v>10</v>
      </c>
    </row>
    <row r="314" spans="4:8" x14ac:dyDescent="0.3">
      <c r="D314" t="s">
        <v>312</v>
      </c>
      <c r="E314" t="s">
        <v>322</v>
      </c>
      <c r="F314">
        <v>9.6</v>
      </c>
      <c r="G314">
        <f t="shared" si="8"/>
        <v>1.9591836734693875</v>
      </c>
      <c r="H314">
        <f t="shared" si="9"/>
        <v>20</v>
      </c>
    </row>
    <row r="315" spans="4:8" x14ac:dyDescent="0.3">
      <c r="D315" t="s">
        <v>312</v>
      </c>
      <c r="E315" t="s">
        <v>323</v>
      </c>
      <c r="F315">
        <v>6.7</v>
      </c>
      <c r="G315">
        <f t="shared" si="8"/>
        <v>1.3673469387755102</v>
      </c>
      <c r="H315">
        <f t="shared" si="9"/>
        <v>40</v>
      </c>
    </row>
    <row r="316" spans="4:8" x14ac:dyDescent="0.3">
      <c r="D316" t="s">
        <v>312</v>
      </c>
      <c r="E316" t="s">
        <v>324</v>
      </c>
      <c r="F316">
        <v>6.5</v>
      </c>
      <c r="G316">
        <f t="shared" si="8"/>
        <v>1.3265306122448979</v>
      </c>
      <c r="H316">
        <f t="shared" si="9"/>
        <v>40</v>
      </c>
    </row>
    <row r="317" spans="4:8" x14ac:dyDescent="0.3">
      <c r="D317" t="s">
        <v>312</v>
      </c>
      <c r="E317" t="s">
        <v>325</v>
      </c>
      <c r="F317">
        <v>9.8000000000000007</v>
      </c>
      <c r="G317">
        <f t="shared" si="8"/>
        <v>2</v>
      </c>
      <c r="H317">
        <f t="shared" si="9"/>
        <v>20</v>
      </c>
    </row>
    <row r="318" spans="4:8" x14ac:dyDescent="0.3">
      <c r="D318" t="s">
        <v>312</v>
      </c>
      <c r="E318" t="s">
        <v>326</v>
      </c>
      <c r="F318">
        <v>12.8</v>
      </c>
      <c r="G318">
        <f t="shared" si="8"/>
        <v>2.6122448979591835</v>
      </c>
      <c r="H318">
        <f t="shared" si="9"/>
        <v>10</v>
      </c>
    </row>
    <row r="319" spans="4:8" x14ac:dyDescent="0.3">
      <c r="D319" t="s">
        <v>312</v>
      </c>
      <c r="E319" t="s">
        <v>327</v>
      </c>
      <c r="F319">
        <v>5.9</v>
      </c>
      <c r="G319">
        <f t="shared" si="8"/>
        <v>1.2040816326530612</v>
      </c>
      <c r="H319">
        <f t="shared" si="9"/>
        <v>60</v>
      </c>
    </row>
    <row r="320" spans="4:8" x14ac:dyDescent="0.3">
      <c r="D320" t="s">
        <v>312</v>
      </c>
      <c r="E320" t="s">
        <v>328</v>
      </c>
      <c r="F320">
        <v>8.1999999999999993</v>
      </c>
      <c r="G320">
        <f t="shared" si="8"/>
        <v>1.6734693877551017</v>
      </c>
      <c r="H320">
        <f t="shared" si="9"/>
        <v>20</v>
      </c>
    </row>
    <row r="321" spans="4:8" x14ac:dyDescent="0.3">
      <c r="D321" t="s">
        <v>312</v>
      </c>
      <c r="E321" t="s">
        <v>329</v>
      </c>
      <c r="F321">
        <v>11.7</v>
      </c>
      <c r="G321">
        <f t="shared" si="8"/>
        <v>2.3877551020408161</v>
      </c>
      <c r="H321">
        <f t="shared" si="9"/>
        <v>15</v>
      </c>
    </row>
    <row r="322" spans="4:8" x14ac:dyDescent="0.3">
      <c r="D322" t="s">
        <v>312</v>
      </c>
      <c r="E322" t="s">
        <v>330</v>
      </c>
      <c r="F322">
        <v>8.4</v>
      </c>
      <c r="G322">
        <f t="shared" si="8"/>
        <v>1.7142857142857142</v>
      </c>
      <c r="H322">
        <f t="shared" si="9"/>
        <v>20</v>
      </c>
    </row>
    <row r="323" spans="4:8" x14ac:dyDescent="0.3">
      <c r="D323" t="s">
        <v>312</v>
      </c>
      <c r="E323" t="s">
        <v>331</v>
      </c>
      <c r="F323">
        <v>9.8000000000000007</v>
      </c>
      <c r="G323">
        <f t="shared" ref="G323:G381" si="10">F323/4.9</f>
        <v>2</v>
      </c>
      <c r="H323">
        <f t="shared" ref="H323:H381" si="11">IF(G323&lt;=0.6,100,IF(G323&lt;=1,80,IF(G323&lt;=1.3,60,IF(G323&lt;=1.6,40,IF(G323&lt;=2,20,IF(G323&lt;=2.5,15,10))))))</f>
        <v>20</v>
      </c>
    </row>
    <row r="324" spans="4:8" x14ac:dyDescent="0.3">
      <c r="D324" t="s">
        <v>312</v>
      </c>
      <c r="E324" t="s">
        <v>332</v>
      </c>
      <c r="F324">
        <v>6.3</v>
      </c>
      <c r="G324">
        <f t="shared" si="10"/>
        <v>1.2857142857142856</v>
      </c>
      <c r="H324">
        <f t="shared" si="11"/>
        <v>60</v>
      </c>
    </row>
    <row r="325" spans="4:8" x14ac:dyDescent="0.3">
      <c r="D325" t="s">
        <v>312</v>
      </c>
      <c r="E325" t="s">
        <v>333</v>
      </c>
      <c r="F325">
        <v>2</v>
      </c>
      <c r="G325">
        <f t="shared" si="10"/>
        <v>0.4081632653061224</v>
      </c>
      <c r="H325">
        <f t="shared" si="11"/>
        <v>100</v>
      </c>
    </row>
    <row r="326" spans="4:8" x14ac:dyDescent="0.3">
      <c r="D326" t="s">
        <v>334</v>
      </c>
      <c r="E326" t="s">
        <v>335</v>
      </c>
      <c r="F326">
        <v>7.3</v>
      </c>
      <c r="G326">
        <f t="shared" si="10"/>
        <v>1.4897959183673468</v>
      </c>
      <c r="H326">
        <f t="shared" si="11"/>
        <v>40</v>
      </c>
    </row>
    <row r="327" spans="4:8" x14ac:dyDescent="0.3">
      <c r="D327" t="s">
        <v>334</v>
      </c>
      <c r="E327" t="s">
        <v>336</v>
      </c>
      <c r="F327">
        <v>4.8</v>
      </c>
      <c r="G327">
        <f t="shared" si="10"/>
        <v>0.97959183673469374</v>
      </c>
      <c r="H327">
        <f t="shared" si="11"/>
        <v>80</v>
      </c>
    </row>
    <row r="328" spans="4:8" x14ac:dyDescent="0.3">
      <c r="D328" t="s">
        <v>334</v>
      </c>
      <c r="E328" t="s">
        <v>337</v>
      </c>
      <c r="F328">
        <v>4.5999999999999996</v>
      </c>
      <c r="G328">
        <f t="shared" si="10"/>
        <v>0.93877551020408145</v>
      </c>
      <c r="H328">
        <f t="shared" si="11"/>
        <v>80</v>
      </c>
    </row>
    <row r="329" spans="4:8" x14ac:dyDescent="0.3">
      <c r="D329" t="s">
        <v>334</v>
      </c>
      <c r="E329" t="s">
        <v>338</v>
      </c>
      <c r="F329">
        <v>4.8</v>
      </c>
      <c r="G329">
        <f t="shared" si="10"/>
        <v>0.97959183673469374</v>
      </c>
      <c r="H329">
        <f t="shared" si="11"/>
        <v>80</v>
      </c>
    </row>
    <row r="330" spans="4:8" x14ac:dyDescent="0.3">
      <c r="D330" t="s">
        <v>334</v>
      </c>
      <c r="E330" t="s">
        <v>149</v>
      </c>
      <c r="F330">
        <v>4.7</v>
      </c>
      <c r="G330">
        <f t="shared" si="10"/>
        <v>0.95918367346938771</v>
      </c>
      <c r="H330">
        <f t="shared" si="11"/>
        <v>80</v>
      </c>
    </row>
    <row r="331" spans="4:8" x14ac:dyDescent="0.3">
      <c r="D331" t="s">
        <v>334</v>
      </c>
      <c r="E331" t="s">
        <v>339</v>
      </c>
      <c r="F331">
        <v>4.4000000000000004</v>
      </c>
      <c r="G331">
        <f t="shared" si="10"/>
        <v>0.89795918367346939</v>
      </c>
      <c r="H331">
        <f t="shared" si="11"/>
        <v>80</v>
      </c>
    </row>
    <row r="332" spans="4:8" x14ac:dyDescent="0.3">
      <c r="D332" t="s">
        <v>334</v>
      </c>
      <c r="E332" t="s">
        <v>340</v>
      </c>
      <c r="F332">
        <v>3.2</v>
      </c>
      <c r="G332">
        <f t="shared" si="10"/>
        <v>0.65306122448979587</v>
      </c>
      <c r="H332">
        <f t="shared" si="11"/>
        <v>80</v>
      </c>
    </row>
    <row r="333" spans="4:8" x14ac:dyDescent="0.3">
      <c r="D333" t="s">
        <v>334</v>
      </c>
      <c r="E333" t="s">
        <v>341</v>
      </c>
      <c r="F333">
        <v>1.7</v>
      </c>
      <c r="G333">
        <f t="shared" si="10"/>
        <v>0.34693877551020402</v>
      </c>
      <c r="H333">
        <f t="shared" si="11"/>
        <v>100</v>
      </c>
    </row>
    <row r="334" spans="4:8" x14ac:dyDescent="0.3">
      <c r="D334" t="s">
        <v>334</v>
      </c>
      <c r="E334" t="s">
        <v>342</v>
      </c>
      <c r="F334">
        <v>3.5</v>
      </c>
      <c r="G334">
        <f t="shared" si="10"/>
        <v>0.71428571428571419</v>
      </c>
      <c r="H334">
        <f t="shared" si="11"/>
        <v>80</v>
      </c>
    </row>
    <row r="335" spans="4:8" x14ac:dyDescent="0.3">
      <c r="D335" t="s">
        <v>334</v>
      </c>
      <c r="E335" t="s">
        <v>343</v>
      </c>
      <c r="F335">
        <v>8.1</v>
      </c>
      <c r="G335">
        <f t="shared" si="10"/>
        <v>1.6530612244897958</v>
      </c>
      <c r="H335">
        <f t="shared" si="11"/>
        <v>20</v>
      </c>
    </row>
    <row r="336" spans="4:8" x14ac:dyDescent="0.3">
      <c r="D336" t="s">
        <v>334</v>
      </c>
      <c r="E336" t="s">
        <v>344</v>
      </c>
      <c r="F336">
        <v>2.9</v>
      </c>
      <c r="G336">
        <f t="shared" si="10"/>
        <v>0.59183673469387754</v>
      </c>
      <c r="H336">
        <f t="shared" si="11"/>
        <v>100</v>
      </c>
    </row>
    <row r="337" spans="4:8" x14ac:dyDescent="0.3">
      <c r="D337" t="s">
        <v>334</v>
      </c>
      <c r="E337" t="s">
        <v>345</v>
      </c>
      <c r="F337">
        <v>2.7</v>
      </c>
      <c r="G337">
        <f t="shared" si="10"/>
        <v>0.55102040816326525</v>
      </c>
      <c r="H337">
        <f t="shared" si="11"/>
        <v>100</v>
      </c>
    </row>
    <row r="338" spans="4:8" x14ac:dyDescent="0.3">
      <c r="D338" t="s">
        <v>334</v>
      </c>
      <c r="E338" t="s">
        <v>346</v>
      </c>
      <c r="F338">
        <v>2.5</v>
      </c>
      <c r="G338">
        <f t="shared" si="10"/>
        <v>0.51020408163265307</v>
      </c>
      <c r="H338">
        <f t="shared" si="11"/>
        <v>100</v>
      </c>
    </row>
    <row r="339" spans="4:8" x14ac:dyDescent="0.3">
      <c r="D339" t="s">
        <v>334</v>
      </c>
      <c r="E339" t="s">
        <v>347</v>
      </c>
      <c r="F339">
        <v>4.9000000000000004</v>
      </c>
      <c r="G339">
        <f t="shared" si="10"/>
        <v>1</v>
      </c>
      <c r="H339">
        <f t="shared" si="11"/>
        <v>80</v>
      </c>
    </row>
    <row r="340" spans="4:8" x14ac:dyDescent="0.3">
      <c r="D340" t="s">
        <v>334</v>
      </c>
      <c r="E340" t="s">
        <v>348</v>
      </c>
      <c r="F340">
        <v>2.4</v>
      </c>
      <c r="G340">
        <f t="shared" si="10"/>
        <v>0.48979591836734687</v>
      </c>
      <c r="H340">
        <f t="shared" si="11"/>
        <v>100</v>
      </c>
    </row>
    <row r="341" spans="4:8" x14ac:dyDescent="0.3">
      <c r="D341" t="s">
        <v>334</v>
      </c>
      <c r="E341" t="s">
        <v>349</v>
      </c>
      <c r="F341">
        <v>3.2</v>
      </c>
      <c r="G341">
        <f t="shared" si="10"/>
        <v>0.65306122448979587</v>
      </c>
      <c r="H341">
        <f t="shared" si="11"/>
        <v>80</v>
      </c>
    </row>
    <row r="342" spans="4:8" x14ac:dyDescent="0.3">
      <c r="D342" t="s">
        <v>334</v>
      </c>
      <c r="E342" t="s">
        <v>160</v>
      </c>
      <c r="F342">
        <v>2.8</v>
      </c>
      <c r="G342">
        <f t="shared" si="10"/>
        <v>0.5714285714285714</v>
      </c>
      <c r="H342">
        <f t="shared" si="11"/>
        <v>100</v>
      </c>
    </row>
    <row r="343" spans="4:8" x14ac:dyDescent="0.3">
      <c r="D343" t="s">
        <v>334</v>
      </c>
      <c r="E343" t="s">
        <v>350</v>
      </c>
      <c r="F343">
        <v>3.6</v>
      </c>
      <c r="G343">
        <f t="shared" si="10"/>
        <v>0.73469387755102034</v>
      </c>
      <c r="H343">
        <f t="shared" si="11"/>
        <v>80</v>
      </c>
    </row>
    <row r="344" spans="4:8" x14ac:dyDescent="0.3">
      <c r="D344" t="s">
        <v>334</v>
      </c>
      <c r="E344" t="s">
        <v>351</v>
      </c>
      <c r="F344">
        <v>4.7</v>
      </c>
      <c r="G344">
        <f t="shared" si="10"/>
        <v>0.95918367346938771</v>
      </c>
      <c r="H344">
        <f t="shared" si="11"/>
        <v>80</v>
      </c>
    </row>
    <row r="345" spans="4:8" x14ac:dyDescent="0.3">
      <c r="D345" t="s">
        <v>334</v>
      </c>
      <c r="E345" t="s">
        <v>352</v>
      </c>
      <c r="F345">
        <v>3.2</v>
      </c>
      <c r="G345">
        <f t="shared" si="10"/>
        <v>0.65306122448979587</v>
      </c>
      <c r="H345">
        <f t="shared" si="11"/>
        <v>80</v>
      </c>
    </row>
    <row r="346" spans="4:8" x14ac:dyDescent="0.3">
      <c r="D346" t="s">
        <v>334</v>
      </c>
      <c r="E346" t="s">
        <v>353</v>
      </c>
      <c r="F346">
        <v>1</v>
      </c>
      <c r="G346">
        <f t="shared" si="10"/>
        <v>0.2040816326530612</v>
      </c>
      <c r="H346">
        <f t="shared" si="11"/>
        <v>100</v>
      </c>
    </row>
    <row r="347" spans="4:8" x14ac:dyDescent="0.3">
      <c r="D347" t="s">
        <v>334</v>
      </c>
      <c r="E347" t="s">
        <v>354</v>
      </c>
      <c r="F347">
        <v>3.5</v>
      </c>
      <c r="G347">
        <f t="shared" si="10"/>
        <v>0.71428571428571419</v>
      </c>
      <c r="H347">
        <f t="shared" si="11"/>
        <v>80</v>
      </c>
    </row>
    <row r="348" spans="4:8" x14ac:dyDescent="0.3">
      <c r="D348" t="s">
        <v>334</v>
      </c>
      <c r="E348" t="s">
        <v>355</v>
      </c>
      <c r="F348">
        <v>6.9</v>
      </c>
      <c r="G348">
        <f t="shared" si="10"/>
        <v>1.4081632653061225</v>
      </c>
      <c r="H348">
        <f t="shared" si="11"/>
        <v>40</v>
      </c>
    </row>
    <row r="349" spans="4:8" x14ac:dyDescent="0.3">
      <c r="D349" t="s">
        <v>334</v>
      </c>
      <c r="E349" t="s">
        <v>356</v>
      </c>
      <c r="F349">
        <v>3.7</v>
      </c>
      <c r="G349">
        <f t="shared" si="10"/>
        <v>0.75510204081632648</v>
      </c>
      <c r="H349">
        <f t="shared" si="11"/>
        <v>80</v>
      </c>
    </row>
    <row r="350" spans="4:8" x14ac:dyDescent="0.3">
      <c r="D350" t="s">
        <v>334</v>
      </c>
      <c r="E350" t="s">
        <v>21</v>
      </c>
      <c r="F350">
        <v>5.8</v>
      </c>
      <c r="G350">
        <f t="shared" si="10"/>
        <v>1.1836734693877551</v>
      </c>
      <c r="H350">
        <f t="shared" si="11"/>
        <v>60</v>
      </c>
    </row>
    <row r="351" spans="4:8" x14ac:dyDescent="0.3">
      <c r="D351" t="s">
        <v>334</v>
      </c>
      <c r="E351" t="s">
        <v>357</v>
      </c>
      <c r="F351">
        <v>2.6</v>
      </c>
      <c r="G351">
        <f t="shared" si="10"/>
        <v>0.53061224489795922</v>
      </c>
      <c r="H351">
        <f t="shared" si="11"/>
        <v>100</v>
      </c>
    </row>
    <row r="352" spans="4:8" x14ac:dyDescent="0.3">
      <c r="D352" t="s">
        <v>334</v>
      </c>
      <c r="E352" t="s">
        <v>358</v>
      </c>
      <c r="F352">
        <v>3.9</v>
      </c>
      <c r="G352">
        <f t="shared" si="10"/>
        <v>0.79591836734693866</v>
      </c>
      <c r="H352">
        <f t="shared" si="11"/>
        <v>80</v>
      </c>
    </row>
    <row r="353" spans="4:8" x14ac:dyDescent="0.3">
      <c r="D353" t="s">
        <v>334</v>
      </c>
      <c r="E353" t="s">
        <v>359</v>
      </c>
      <c r="F353">
        <v>5.3</v>
      </c>
      <c r="G353">
        <f t="shared" si="10"/>
        <v>1.0816326530612244</v>
      </c>
      <c r="H353">
        <f t="shared" si="11"/>
        <v>60</v>
      </c>
    </row>
    <row r="354" spans="4:8" x14ac:dyDescent="0.3">
      <c r="D354" t="s">
        <v>334</v>
      </c>
      <c r="E354" t="s">
        <v>360</v>
      </c>
      <c r="F354">
        <v>1.5</v>
      </c>
      <c r="G354">
        <f t="shared" si="10"/>
        <v>0.30612244897959179</v>
      </c>
      <c r="H354">
        <f t="shared" si="11"/>
        <v>100</v>
      </c>
    </row>
    <row r="355" spans="4:8" x14ac:dyDescent="0.3">
      <c r="D355" t="s">
        <v>334</v>
      </c>
      <c r="E355" t="s">
        <v>361</v>
      </c>
      <c r="F355">
        <v>3.4</v>
      </c>
      <c r="G355">
        <f t="shared" si="10"/>
        <v>0.69387755102040805</v>
      </c>
      <c r="H355">
        <f t="shared" si="11"/>
        <v>80</v>
      </c>
    </row>
    <row r="356" spans="4:8" x14ac:dyDescent="0.3">
      <c r="D356" t="s">
        <v>334</v>
      </c>
      <c r="E356" t="s">
        <v>362</v>
      </c>
      <c r="F356">
        <v>4.3</v>
      </c>
      <c r="G356">
        <f t="shared" si="10"/>
        <v>0.87755102040816313</v>
      </c>
      <c r="H356">
        <f t="shared" si="11"/>
        <v>80</v>
      </c>
    </row>
    <row r="357" spans="4:8" x14ac:dyDescent="0.3">
      <c r="D357" t="s">
        <v>334</v>
      </c>
      <c r="E357" t="s">
        <v>363</v>
      </c>
      <c r="F357">
        <v>3.6</v>
      </c>
      <c r="G357">
        <f t="shared" si="10"/>
        <v>0.73469387755102034</v>
      </c>
      <c r="H357">
        <f t="shared" si="11"/>
        <v>80</v>
      </c>
    </row>
    <row r="358" spans="4:8" x14ac:dyDescent="0.3">
      <c r="D358" t="s">
        <v>334</v>
      </c>
      <c r="E358" t="s">
        <v>364</v>
      </c>
      <c r="F358">
        <v>5.8</v>
      </c>
      <c r="G358">
        <f t="shared" si="10"/>
        <v>1.1836734693877551</v>
      </c>
      <c r="H358">
        <f t="shared" si="11"/>
        <v>60</v>
      </c>
    </row>
    <row r="359" spans="4:8" x14ac:dyDescent="0.3">
      <c r="D359" t="s">
        <v>334</v>
      </c>
      <c r="E359" t="s">
        <v>365</v>
      </c>
      <c r="F359">
        <v>3</v>
      </c>
      <c r="G359">
        <f t="shared" si="10"/>
        <v>0.61224489795918358</v>
      </c>
      <c r="H359">
        <f t="shared" si="11"/>
        <v>80</v>
      </c>
    </row>
    <row r="360" spans="4:8" x14ac:dyDescent="0.3">
      <c r="D360" t="s">
        <v>334</v>
      </c>
      <c r="E360" t="s">
        <v>366</v>
      </c>
      <c r="F360">
        <v>1.1000000000000001</v>
      </c>
      <c r="G360">
        <f t="shared" si="10"/>
        <v>0.22448979591836735</v>
      </c>
      <c r="H360">
        <f t="shared" si="11"/>
        <v>100</v>
      </c>
    </row>
    <row r="361" spans="4:8" x14ac:dyDescent="0.3">
      <c r="D361" t="s">
        <v>367</v>
      </c>
      <c r="E361" t="s">
        <v>368</v>
      </c>
      <c r="F361">
        <v>16.3</v>
      </c>
      <c r="G361">
        <f t="shared" si="10"/>
        <v>3.3265306122448979</v>
      </c>
      <c r="H361">
        <f t="shared" si="11"/>
        <v>10</v>
      </c>
    </row>
    <row r="362" spans="4:8" x14ac:dyDescent="0.3">
      <c r="D362" t="s">
        <v>367</v>
      </c>
      <c r="E362" t="s">
        <v>369</v>
      </c>
      <c r="F362">
        <v>15.6</v>
      </c>
      <c r="G362">
        <f t="shared" si="10"/>
        <v>3.1836734693877546</v>
      </c>
      <c r="H362">
        <f t="shared" si="11"/>
        <v>10</v>
      </c>
    </row>
    <row r="363" spans="4:8" x14ac:dyDescent="0.3">
      <c r="D363" t="s">
        <v>367</v>
      </c>
      <c r="E363" t="s">
        <v>370</v>
      </c>
      <c r="F363">
        <v>11</v>
      </c>
      <c r="G363">
        <f t="shared" si="10"/>
        <v>2.2448979591836733</v>
      </c>
      <c r="H363">
        <f t="shared" si="11"/>
        <v>15</v>
      </c>
    </row>
    <row r="364" spans="4:8" x14ac:dyDescent="0.3">
      <c r="D364" t="s">
        <v>367</v>
      </c>
      <c r="E364" t="s">
        <v>371</v>
      </c>
      <c r="F364">
        <v>4.0999999999999996</v>
      </c>
      <c r="G364">
        <f t="shared" si="10"/>
        <v>0.83673469387755084</v>
      </c>
      <c r="H364">
        <f t="shared" si="11"/>
        <v>80</v>
      </c>
    </row>
    <row r="365" spans="4:8" x14ac:dyDescent="0.3">
      <c r="D365" t="s">
        <v>367</v>
      </c>
      <c r="E365" t="s">
        <v>372</v>
      </c>
      <c r="F365">
        <v>7.3</v>
      </c>
      <c r="G365">
        <f t="shared" si="10"/>
        <v>1.4897959183673468</v>
      </c>
      <c r="H365">
        <f t="shared" si="11"/>
        <v>40</v>
      </c>
    </row>
    <row r="366" spans="4:8" x14ac:dyDescent="0.3">
      <c r="D366" t="s">
        <v>367</v>
      </c>
      <c r="E366" t="s">
        <v>373</v>
      </c>
      <c r="F366">
        <v>6.7</v>
      </c>
      <c r="G366">
        <f t="shared" si="10"/>
        <v>1.3673469387755102</v>
      </c>
      <c r="H366">
        <f t="shared" si="11"/>
        <v>40</v>
      </c>
    </row>
    <row r="367" spans="4:8" x14ac:dyDescent="0.3">
      <c r="D367" t="s">
        <v>367</v>
      </c>
      <c r="E367" t="s">
        <v>374</v>
      </c>
      <c r="F367">
        <v>12.3</v>
      </c>
      <c r="G367">
        <f t="shared" si="10"/>
        <v>2.510204081632653</v>
      </c>
      <c r="H367">
        <f t="shared" si="11"/>
        <v>10</v>
      </c>
    </row>
    <row r="368" spans="4:8" x14ac:dyDescent="0.3">
      <c r="D368" t="s">
        <v>367</v>
      </c>
      <c r="E368" t="s">
        <v>375</v>
      </c>
      <c r="F368">
        <v>1.8</v>
      </c>
      <c r="G368">
        <f t="shared" si="10"/>
        <v>0.36734693877551017</v>
      </c>
      <c r="H368">
        <f t="shared" si="11"/>
        <v>100</v>
      </c>
    </row>
    <row r="369" spans="4:8" x14ac:dyDescent="0.3">
      <c r="D369" t="s">
        <v>367</v>
      </c>
      <c r="E369" t="s">
        <v>376</v>
      </c>
      <c r="F369">
        <v>10.6</v>
      </c>
      <c r="G369">
        <f t="shared" si="10"/>
        <v>2.1632653061224487</v>
      </c>
      <c r="H369">
        <f t="shared" si="11"/>
        <v>15</v>
      </c>
    </row>
    <row r="370" spans="4:8" x14ac:dyDescent="0.3">
      <c r="D370" t="s">
        <v>367</v>
      </c>
      <c r="E370" t="s">
        <v>377</v>
      </c>
      <c r="F370">
        <v>14.8</v>
      </c>
      <c r="G370">
        <f t="shared" si="10"/>
        <v>3.0204081632653059</v>
      </c>
      <c r="H370">
        <f t="shared" si="11"/>
        <v>10</v>
      </c>
    </row>
    <row r="371" spans="4:8" x14ac:dyDescent="0.3">
      <c r="D371" t="s">
        <v>367</v>
      </c>
      <c r="E371" t="s">
        <v>378</v>
      </c>
      <c r="F371">
        <v>6.1</v>
      </c>
      <c r="G371">
        <f t="shared" si="10"/>
        <v>1.2448979591836733</v>
      </c>
      <c r="H371">
        <f t="shared" si="11"/>
        <v>60</v>
      </c>
    </row>
    <row r="372" spans="4:8" x14ac:dyDescent="0.3">
      <c r="D372" t="s">
        <v>367</v>
      </c>
      <c r="E372" t="s">
        <v>379</v>
      </c>
      <c r="F372">
        <v>3.5</v>
      </c>
      <c r="G372">
        <f t="shared" si="10"/>
        <v>0.71428571428571419</v>
      </c>
      <c r="H372">
        <f t="shared" si="11"/>
        <v>80</v>
      </c>
    </row>
    <row r="373" spans="4:8" x14ac:dyDescent="0.3">
      <c r="D373" t="s">
        <v>367</v>
      </c>
      <c r="E373" t="s">
        <v>380</v>
      </c>
      <c r="F373">
        <v>10.7</v>
      </c>
      <c r="G373">
        <f t="shared" si="10"/>
        <v>2.1836734693877546</v>
      </c>
      <c r="H373">
        <f t="shared" si="11"/>
        <v>15</v>
      </c>
    </row>
    <row r="374" spans="4:8" x14ac:dyDescent="0.3">
      <c r="D374" t="s">
        <v>367</v>
      </c>
      <c r="E374" t="s">
        <v>381</v>
      </c>
      <c r="F374">
        <v>12.3</v>
      </c>
      <c r="G374">
        <f t="shared" si="10"/>
        <v>2.510204081632653</v>
      </c>
      <c r="H374">
        <f t="shared" si="11"/>
        <v>10</v>
      </c>
    </row>
    <row r="375" spans="4:8" x14ac:dyDescent="0.3">
      <c r="D375" t="s">
        <v>367</v>
      </c>
      <c r="E375" t="s">
        <v>382</v>
      </c>
      <c r="F375">
        <v>7.2</v>
      </c>
      <c r="G375">
        <f t="shared" si="10"/>
        <v>1.4693877551020407</v>
      </c>
      <c r="H375">
        <f t="shared" si="11"/>
        <v>40</v>
      </c>
    </row>
    <row r="376" spans="4:8" x14ac:dyDescent="0.3">
      <c r="D376" t="s">
        <v>367</v>
      </c>
      <c r="E376" t="s">
        <v>383</v>
      </c>
      <c r="F376">
        <v>13.3</v>
      </c>
      <c r="G376">
        <f t="shared" si="10"/>
        <v>2.7142857142857144</v>
      </c>
      <c r="H376">
        <f t="shared" si="11"/>
        <v>10</v>
      </c>
    </row>
    <row r="377" spans="4:8" x14ac:dyDescent="0.3">
      <c r="D377" t="s">
        <v>367</v>
      </c>
      <c r="E377" t="s">
        <v>384</v>
      </c>
      <c r="F377">
        <v>13.1</v>
      </c>
      <c r="G377">
        <f t="shared" si="10"/>
        <v>2.6734693877551017</v>
      </c>
      <c r="H377">
        <f t="shared" si="11"/>
        <v>10</v>
      </c>
    </row>
    <row r="378" spans="4:8" x14ac:dyDescent="0.3">
      <c r="D378" t="s">
        <v>367</v>
      </c>
      <c r="E378" t="s">
        <v>385</v>
      </c>
      <c r="F378">
        <v>8</v>
      </c>
      <c r="G378">
        <f t="shared" si="10"/>
        <v>1.6326530612244896</v>
      </c>
      <c r="H378">
        <f t="shared" si="11"/>
        <v>20</v>
      </c>
    </row>
    <row r="379" spans="4:8" x14ac:dyDescent="0.3">
      <c r="D379" t="s">
        <v>367</v>
      </c>
      <c r="E379" t="s">
        <v>386</v>
      </c>
      <c r="F379">
        <v>4.4000000000000004</v>
      </c>
      <c r="G379">
        <f t="shared" si="10"/>
        <v>0.89795918367346939</v>
      </c>
      <c r="H379">
        <f t="shared" si="11"/>
        <v>80</v>
      </c>
    </row>
    <row r="380" spans="4:8" x14ac:dyDescent="0.3">
      <c r="D380" t="s">
        <v>367</v>
      </c>
      <c r="E380" t="s">
        <v>387</v>
      </c>
      <c r="F380">
        <v>3.5</v>
      </c>
      <c r="G380">
        <f t="shared" si="10"/>
        <v>0.71428571428571419</v>
      </c>
      <c r="H380">
        <f t="shared" si="11"/>
        <v>80</v>
      </c>
    </row>
    <row r="381" spans="4:8" x14ac:dyDescent="0.3">
      <c r="D381" t="s">
        <v>367</v>
      </c>
      <c r="E381" t="s">
        <v>388</v>
      </c>
      <c r="F381">
        <v>3.9</v>
      </c>
      <c r="G381">
        <f t="shared" si="10"/>
        <v>0.79591836734693866</v>
      </c>
      <c r="H381">
        <f t="shared" si="11"/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Arkusz1!bezrobocie_powiaty_2024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Babij</dc:creator>
  <cp:lastModifiedBy>Anna Babij</cp:lastModifiedBy>
  <dcterms:created xsi:type="dcterms:W3CDTF">2025-11-08T13:34:19Z</dcterms:created>
  <dcterms:modified xsi:type="dcterms:W3CDTF">2025-11-08T13:43:29Z</dcterms:modified>
</cp:coreProperties>
</file>